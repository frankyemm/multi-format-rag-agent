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13_ncr:1_{6AE1FFC1-2CBF-4065-B3F4-1DCE5AC2736A}" xr6:coauthVersionLast="47" xr6:coauthVersionMax="47" xr10:uidLastSave="{00000000-0000-0000-0000-000000000000}"/>
  <bookViews>
    <workbookView xWindow="-108" yWindow="-108" windowWidth="23256" windowHeight="12456" firstSheet="1" activeTab="4" xr2:uid="{00000000-000D-0000-FFFF-FFFF00000000}"/>
  </bookViews>
  <sheets>
    <sheet name="PRODUCTOS GENERALES PEYBU " sheetId="5" r:id="rId1"/>
    <sheet name="PRODUCTOS PLANTA PRODUCCION" sheetId="1" r:id="rId2"/>
    <sheet name="Items y Modificadores." sheetId="2" state="hidden" r:id="rId3"/>
    <sheet name="Subrecetas (Producciones.)" sheetId="3" r:id="rId4"/>
    <sheet name="Recetas." sheetId="4" r:id="rId5"/>
  </sheets>
  <definedNames>
    <definedName name="_xlnm._FilterDatabase" localSheetId="1" hidden="1">'PRODUCTOS PLANTA PRODUCCION'!$A$1:$AC$104</definedName>
    <definedName name="_xlnm._FilterDatabase" localSheetId="4" hidden="1">'Recetas.'!$A$1:$H$227</definedName>
    <definedName name="_xlnm._FilterDatabase" localSheetId="3" hidden="1">'Subrecetas (Producciones.)'!$A$2:$H$12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2" i="3" l="1"/>
  <c r="C206" i="4"/>
  <c r="E251" i="3" l="1"/>
  <c r="E12" i="3" l="1"/>
  <c r="C3" i="4"/>
  <c r="E233" i="3"/>
  <c r="E232" i="3"/>
  <c r="E231" i="3"/>
  <c r="E230" i="3"/>
  <c r="E229" i="3"/>
  <c r="E228" i="3"/>
  <c r="E226" i="3"/>
  <c r="E227" i="3"/>
  <c r="E225" i="3"/>
  <c r="E224" i="3"/>
  <c r="E214" i="3"/>
  <c r="E213" i="3"/>
  <c r="E212" i="3"/>
  <c r="E211" i="3"/>
  <c r="E210" i="3"/>
  <c r="E209" i="3"/>
  <c r="E208" i="3"/>
  <c r="E207" i="3"/>
  <c r="E223" i="3" s="1"/>
  <c r="E203" i="3"/>
  <c r="E202" i="3"/>
  <c r="E201" i="3"/>
  <c r="E200" i="3"/>
  <c r="E199" i="3"/>
  <c r="E198" i="3"/>
  <c r="E197" i="3"/>
  <c r="E196" i="3"/>
  <c r="E190" i="3"/>
  <c r="E186" i="3"/>
  <c r="E185" i="3"/>
  <c r="E184" i="3"/>
  <c r="E181" i="3"/>
  <c r="E180" i="3"/>
  <c r="E179" i="3"/>
  <c r="E178" i="3"/>
  <c r="E177" i="3"/>
  <c r="E176" i="3"/>
  <c r="E175" i="3"/>
  <c r="E174" i="3"/>
  <c r="E173" i="3"/>
  <c r="E172" i="3"/>
  <c r="E171" i="3" l="1"/>
  <c r="E170" i="3"/>
  <c r="E169" i="3"/>
  <c r="E168" i="3"/>
  <c r="E167" i="3"/>
  <c r="E166" i="3"/>
  <c r="E165" i="3"/>
  <c r="E164" i="3"/>
  <c r="E163" i="3"/>
  <c r="E162" i="3"/>
  <c r="E158" i="3"/>
  <c r="E157" i="3"/>
  <c r="E156" i="3"/>
  <c r="E155" i="3"/>
  <c r="E154" i="3"/>
  <c r="E153" i="3"/>
  <c r="E152" i="3"/>
  <c r="E151" i="3"/>
  <c r="E150" i="3"/>
  <c r="E149" i="3"/>
  <c r="E148" i="3"/>
  <c r="E147" i="3"/>
  <c r="E142" i="3"/>
  <c r="E136" i="3"/>
  <c r="E99" i="3"/>
  <c r="E98" i="3"/>
  <c r="E94" i="3"/>
  <c r="E93" i="3"/>
  <c r="E92" i="3"/>
  <c r="E91" i="3"/>
  <c r="E90" i="3"/>
  <c r="E89" i="3"/>
  <c r="E88" i="3"/>
  <c r="F87" i="3"/>
  <c r="E87" i="3"/>
  <c r="E83" i="3"/>
  <c r="E82" i="3"/>
  <c r="E81" i="3"/>
  <c r="E80" i="3"/>
  <c r="E79" i="3"/>
  <c r="E77" i="3"/>
  <c r="E76" i="3"/>
  <c r="E75" i="3"/>
  <c r="E74" i="3"/>
  <c r="F73" i="3"/>
  <c r="E73" i="3"/>
  <c r="F72" i="3"/>
  <c r="E72" i="3"/>
  <c r="E71" i="3"/>
  <c r="F70" i="3"/>
  <c r="E70" i="3"/>
  <c r="F69" i="3"/>
  <c r="E69" i="3"/>
  <c r="E65" i="3"/>
  <c r="E64" i="3"/>
  <c r="E63" i="3"/>
  <c r="E78" i="3" s="1"/>
  <c r="E62" i="3"/>
  <c r="E61" i="3"/>
  <c r="E60" i="3"/>
  <c r="E59" i="3"/>
  <c r="E58" i="3"/>
  <c r="E54" i="3"/>
  <c r="F53" i="3"/>
  <c r="E53" i="3"/>
  <c r="E52" i="3"/>
  <c r="E51" i="3"/>
  <c r="E50" i="3"/>
  <c r="E49" i="3"/>
  <c r="E48" i="3"/>
  <c r="E38" i="3"/>
  <c r="E34" i="3"/>
  <c r="E33" i="3"/>
  <c r="E32" i="3"/>
  <c r="E31" i="3"/>
  <c r="E30" i="3"/>
  <c r="E29" i="3"/>
  <c r="F26" i="3"/>
  <c r="E26" i="3"/>
  <c r="E23" i="3"/>
  <c r="E22" i="3"/>
  <c r="E21" i="3"/>
  <c r="F20" i="3"/>
  <c r="E20" i="3"/>
  <c r="F18" i="3"/>
  <c r="E18" i="3"/>
  <c r="F17" i="3"/>
  <c r="E17" i="3"/>
  <c r="E16" i="3"/>
  <c r="F15" i="3"/>
  <c r="E15" i="3"/>
  <c r="F11" i="3"/>
  <c r="E11" i="3"/>
  <c r="F10" i="3"/>
  <c r="E10" i="3"/>
  <c r="E9" i="3"/>
  <c r="F8" i="3"/>
  <c r="E8" i="3"/>
  <c r="F7" i="3"/>
  <c r="E7" i="3"/>
  <c r="F6" i="3"/>
  <c r="E6" i="3"/>
  <c r="F5" i="3"/>
  <c r="E5" i="3"/>
  <c r="F4" i="3"/>
  <c r="E4" i="3"/>
  <c r="F3" i="3"/>
  <c r="E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tc={41F79599-CCF2-415A-9378-2DC57AA471CC}</author>
    <author>tc={7732F024-2C33-4138-AED0-68DAC6F32167}</author>
    <author>tc={ACE43439-A1F5-433F-9EAD-572A4FFE6C50}</author>
    <author>tc={8BDF790E-3C31-4E2C-BF0A-E5B5A27F31EF}</author>
    <author>tc={98402962-5720-463E-B865-A57D8724EC23}</author>
    <author>tc={8C623497-F594-4A27-9101-CCA0ABB9284E}</author>
    <author>tc={33E9EA27-80E2-455C-95E4-8EF0A67541A0}</author>
    <author>tc={F9034880-5974-4B16-AED3-995911B0475B}</author>
  </authors>
  <commentList>
    <comment ref="A1" authorId="0" shapeId="0" xr:uid="{41F79599-CCF2-415A-9378-2DC57AA471CC}">
      <text>
        <t>[Comentario encadenado]
Su versión de Excel le permite leer este comentario encadenado; sin embargo, las ediciones que se apliquen se quitarán si el archivo se abre en una versión más reciente de Excel. Más información: https://go.microsoft.com/fwlink/?linkid=870924
Comentario:
    Código del producto. Puede ser ingresado manualmente o dejarse en blanco para que el sistema asigne uno automáticamente.</t>
      </text>
    </comment>
    <comment ref="B1" authorId="1" shapeId="0" xr:uid="{7732F024-2C33-4138-AED0-68DAC6F32167}">
      <text>
        <t>[Comentario encadenado]
Su versión de Excel le permite leer este comentario encadenado; sin embargo, las ediciones que se apliquen se quitarán si el archivo se abre en una versión más reciente de Excel. Más información: https://go.microsoft.com/fwlink/?linkid=870924
Comentario:
    Nombre del ingrediente.</t>
      </text>
    </comment>
    <comment ref="C1" authorId="2" shapeId="0" xr:uid="{ACE43439-A1F5-433F-9EAD-572A4FFE6C50}">
      <text>
        <t>[Comentario encadenado]
Su versión de Excel le permite leer este comentario encadenado; sin embargo, las ediciones que se apliquen se quitarán si el archivo se abre en una versión más reciente de Excel. Más información: https://go.microsoft.com/fwlink/?linkid=870924
Comentario:
    Código de la familia o departamento al que pertenece el producto. No es obligatorio y, si se deja en blanco, el sistema asignará la familia por defecto.</t>
      </text>
    </comment>
    <comment ref="E1" authorId="3" shapeId="0" xr:uid="{8BDF790E-3C31-4E2C-BF0A-E5B5A27F31EF}">
      <text>
        <t>[Comentario encadenado]
Su versión de Excel le permite leer este comentario encadenado; sin embargo, las ediciones que se apliquen se quitarán si el archivo se abre en una versión más reciente de Excel. Más información: https://go.microsoft.com/fwlink/?linkid=870924
Comentario:
    Código de la unidad de medida del producto el cual manejan sus recetas (ejemplo: gr, oz, unidad).</t>
      </text>
    </comment>
    <comment ref="H1" authorId="4" shapeId="0" xr:uid="{98402962-5720-463E-B865-A57D8724EC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Costo del producto en base a la unidad de recetas. </t>
      </text>
    </comment>
    <comment ref="N1" authorId="5" shapeId="0" xr:uid="{8C623497-F594-4A27-9101-CCA0ABB9284E}">
      <text>
        <t>[Comentario encadenado]
Su versión de Excel le permite leer este comentario encadenado; sin embargo, las ediciones que se apliquen se quitarán si el archivo se abre en una versión más reciente de Excel. Más información: https://go.microsoft.com/fwlink/?linkid=870924
Comentario:
    Presentacion en el que el proveedor entrega el producto. Se debe considerar que el sistema permite asignar diferentes presentaciones de compra o múltiples proveedores para un mismo producto.</t>
      </text>
    </comment>
    <comment ref="O1" authorId="6" shapeId="0" xr:uid="{33E9EA27-80E2-455C-95E4-8EF0A67541A0}">
      <text>
        <t>[Comentario encadenado]
Su versión de Excel le permite leer este comentario encadenado; sin embargo, las ediciones que se apliquen se quitarán si el archivo se abre en una versión más reciente de Excel. Más información: https://go.microsoft.com/fwlink/?linkid=870924
Comentario:
    Costo del producto según el proveedor.</t>
      </text>
    </comment>
    <comment ref="AC1" authorId="7" shapeId="0" xr:uid="{F9034880-5974-4B16-AED3-995911B0475B}">
      <text>
        <t>[Comentario encadenado]
Su versión de Excel le permite leer este comentario encadenado; sin embargo, las ediciones que se apliquen se quitarán si el archivo se abre en una versión más reciente de Excel. Más información: https://go.microsoft.com/fwlink/?linkid=870924
Comentario:
    Unidad en la que se gestiona el inventario del ingrediente (ejemplo: pieza, caja, kg)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tc={49A2EA3F-2D15-1C44-85E1-3B0DDF29B949}</author>
    <author>tc={BA4572B2-20B3-654D-955C-C89E7D921A44}</author>
    <author>tc={3F6D4BD2-0595-AD4B-8B75-B842303537CF}</author>
    <author>tc={C5BB3A35-A4BD-0748-96A7-0019F4450B4D}</author>
    <author>tc={2BFCBF9F-5C0B-FF4A-A735-BFCD48700333}</author>
    <author>tc={B1C02F5D-1A4F-6B4C-93CD-F61B4F5A9B82}</author>
    <author>tc={2A36115F-585F-BF43-BDBC-7DA072E6CAF5}</author>
    <author>tc={8536964F-201E-BD4D-B0BD-808420F68A51}</author>
  </authors>
  <commentList>
    <comment ref="A1" authorId="0" shapeId="0" xr:uid="{49A2EA3F-2D15-1C44-85E1-3B0DDF29B949}">
      <text>
        <t>[Comentario encadenado]
Su versión de Excel le permite leer este comentario encadenado; sin embargo, las ediciones que se apliquen se quitarán si el archivo se abre en una versión más reciente de Excel. Más información: https://go.microsoft.com/fwlink/?linkid=870924
Comentario:
    Código del producto. Puede ser ingresado manualmente o dejarse en blanco para que el sistema asigne uno automáticamente.</t>
      </text>
    </comment>
    <comment ref="B1" authorId="1" shapeId="0" xr:uid="{BA4572B2-20B3-654D-955C-C89E7D921A44}">
      <text>
        <t>[Comentario encadenado]
Su versión de Excel le permite leer este comentario encadenado; sin embargo, las ediciones que se apliquen se quitarán si el archivo se abre en una versión más reciente de Excel. Más información: https://go.microsoft.com/fwlink/?linkid=870924
Comentario:
    Nombre del ingrediente.</t>
      </text>
    </comment>
    <comment ref="C1" authorId="2" shapeId="0" xr:uid="{3F6D4BD2-0595-AD4B-8B75-B842303537CF}">
      <text>
        <t>[Comentario encadenado]
Su versión de Excel le permite leer este comentario encadenado; sin embargo, las ediciones que se apliquen se quitarán si el archivo se abre en una versión más reciente de Excel. Más información: https://go.microsoft.com/fwlink/?linkid=870924
Comentario:
    Código de la familia o departamento al que pertenece el producto. No es obligatorio y, si se deja en blanco, el sistema asignará la familia por defecto.</t>
      </text>
    </comment>
    <comment ref="E1" authorId="3" shapeId="0" xr:uid="{C5BB3A35-A4BD-0748-96A7-0019F4450B4D}">
      <text>
        <t>[Comentario encadenado]
Su versión de Excel le permite leer este comentario encadenado; sin embargo, las ediciones que se apliquen se quitarán si el archivo se abre en una versión más reciente de Excel. Más información: https://go.microsoft.com/fwlink/?linkid=870924
Comentario:
    Código de la unidad de medida del producto el cual manejan sus recetas (ejemplo: gr, oz, unidad).</t>
      </text>
    </comment>
    <comment ref="H1" authorId="4" shapeId="0" xr:uid="{2BFCBF9F-5C0B-FF4A-A735-BFCD4870033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Costo del producto en base a la unidad de recetas. </t>
      </text>
    </comment>
    <comment ref="N1" authorId="5" shapeId="0" xr:uid="{B1C02F5D-1A4F-6B4C-93CD-F61B4F5A9B82}">
      <text>
        <t>[Comentario encadenado]
Su versión de Excel le permite leer este comentario encadenado; sin embargo, las ediciones que se apliquen se quitarán si el archivo se abre en una versión más reciente de Excel. Más información: https://go.microsoft.com/fwlink/?linkid=870924
Comentario:
    Presentacion en el que el proveedor entrega el producto. Se debe considerar que el sistema permite asignar diferentes presentaciones de compra o múltiples proveedores para un mismo producto.</t>
      </text>
    </comment>
    <comment ref="O1" authorId="6" shapeId="0" xr:uid="{2A36115F-585F-BF43-BDBC-7DA072E6CAF5}">
      <text>
        <t>[Comentario encadenado]
Su versión de Excel le permite leer este comentario encadenado; sin embargo, las ediciones que se apliquen se quitarán si el archivo se abre en una versión más reciente de Excel. Más información: https://go.microsoft.com/fwlink/?linkid=870924
Comentario:
    Costo del producto según el proveedor.</t>
      </text>
    </comment>
    <comment ref="AC1" authorId="7" shapeId="0" xr:uid="{8536964F-201E-BD4D-B0BD-808420F68A51}">
      <text>
        <t>[Comentario encadenado]
Su versión de Excel le permite leer este comentario encadenado; sin embargo, las ediciones que se apliquen se quitarán si el archivo se abre en una versión más reciente de Excel. Más información: https://go.microsoft.com/fwlink/?linkid=870924
Comentario:
    Unidad en la que se gestiona el inventario del ingrediente (ejemplo: pieza, caja, kg)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tc={1CF9F00E-D5B4-6148-8490-7E656103559E}</author>
    <author>tc={BAB2EAD8-54C4-7442-A2F2-3054734B9D59}</author>
    <author>tc={72E65A81-6C6C-9C46-A1F7-BC2D0F9035A6}</author>
    <author>tc={E66C6446-AE15-D542-8E95-FCFC86145607}</author>
    <author>tc={007DBF76-66BA-8D4F-A2DF-C7E6ED42C1A3}</author>
    <author>tc={0A86368E-0E7E-4548-9CA7-12B27D66F559}</author>
    <author>tc={01B89295-48B7-8A42-A5AE-F29C6C3C63E8}</author>
    <author>tc={01E504DD-5A85-BD4D-942A-55BE81ED124D}</author>
  </authors>
  <commentList>
    <comment ref="A1" authorId="0" shapeId="0" xr:uid="{1CF9F00E-D5B4-6148-8490-7E656103559E}">
      <text>
        <t>[Comentario encadenado]
Su versión de Excel le permite leer este comentario encadenado; sin embargo, las ediciones que se apliquen se quitarán si el archivo se abre en una versión más reciente de Excel. Más información: https://go.microsoft.com/fwlink/?linkid=870924
Comentario:
    Código del Items. Puede ingresarse manualmente o dejarse en blanco para que el sistema asigne uno automáticamente.</t>
      </text>
    </comment>
    <comment ref="B1" authorId="1" shapeId="0" xr:uid="{BAB2EAD8-54C4-7442-A2F2-3054734B9D59}">
      <text>
        <t>[Comentario encadenado]
Su versión de Excel le permite leer este comentario encadenado; sin embargo, las ediciones que se apliquen se quitarán si el archivo se abre en una versión más reciente de Excel. Más información: https://go.microsoft.com/fwlink/?linkid=870924
Comentario:
    Nombre del items o producto de venta.</t>
      </text>
    </comment>
    <comment ref="D1" authorId="2" shapeId="0" xr:uid="{72E65A81-6C6C-9C46-A1F7-BC2D0F9035A6}">
      <text>
        <t>[Comentario encadenado]
Su versión de Excel le permite leer este comentario encadenado; sin embargo, las ediciones que se apliquen se quitarán si el archivo se abre en una versión más reciente de Excel. Más información: https://go.microsoft.com/fwlink/?linkid=870924
Comentario:
    Precio de venta del items. Puede configurarse como precio base (sin impuestos) o con impuestos incluidos, según lo requerido el cliente.</t>
      </text>
    </comment>
    <comment ref="G1" authorId="3" shapeId="0" xr:uid="{E66C6446-AE15-D542-8E95-FCFC86145607}">
      <text>
        <t>[Comentario encadenado]
Su versión de Excel le permite leer este comentario encadenado; sin embargo, las ediciones que se apliquen se quitarán si el archivo se abre en una versión más reciente de Excel. Más información: https://go.microsoft.com/fwlink/?linkid=870924
Comentario:
    Código de Subcategoría: Añadir la clasificación más detallada del producto dentro de la categoría. Es especialmente útil en el iPad, ya que define el segundo nivel de organización de los ítems de venta, facilitando la navegación y selección de productos.</t>
      </text>
    </comment>
    <comment ref="H1" authorId="4" shapeId="0" xr:uid="{007DBF76-66BA-8D4F-A2DF-C7E6ED42C1A3}">
      <text>
        <t>[Comentario encadenado]
Su versión de Excel le permite leer este comentario encadenado; sin embargo, las ediciones que se apliquen se quitarán si el archivo se abre en una versión más reciente de Excel. Más información: https://go.microsoft.com/fwlink/?linkid=870924
Comentario:
    Es el primer nivel o clasificación principal de los ítems de venta en el iPad. Permite organizar los productos de forma eficiente para una navegación rápida en el sistema. Se recomienda su uso para facilitar búsquedas y reportes.</t>
      </text>
    </comment>
    <comment ref="I1" authorId="5" shapeId="0" xr:uid="{0A86368E-0E7E-4548-9CA7-12B27D66F559}">
      <text>
        <t>[Comentario encadenado]
Su versión de Excel le permite leer este comentario encadenado; sin embargo, las ediciones que se apliquen se quitarán si el archivo se abre en una versión más reciente de Excel. Más información: https://go.microsoft.com/fwlink/?linkid=870924
Comentario:
    Debe asociarse únicamente el número de impuesto correspondiente. Este campo se utiliza para calcular el impuesto sobre la base del precio del items. En caso de no manejar este caso dejarlo vacío.</t>
      </text>
    </comment>
    <comment ref="P1" authorId="6" shapeId="0" xr:uid="{01B89295-48B7-8A42-A5AE-F29C6C3C63E8}">
      <text>
        <t>[Comentario encadenado]
Su versión de Excel le permite leer este comentario encadenado; sin embargo, las ediciones que se apliquen se quitarán si el archivo se abre en una versión más reciente de Excel. Más información: https://go.microsoft.com/fwlink/?linkid=870924
Comentario:
    Información adicional relevante del items.</t>
      </text>
    </comment>
    <comment ref="W1" authorId="7" shapeId="0" xr:uid="{01E504DD-5A85-BD4D-942A-55BE81ED124D}">
      <text>
        <t>[Comentario encadenado]
Su versión de Excel le permite leer este comentario encadenado; sin embargo, las ediciones que se apliquen se quitarán si el archivo se abre en una versión más reciente de Excel. Más información: https://go.microsoft.com/fwlink/?linkid=870924
Comentario:
    Debe asociarse únicamente el número de impuesto correspondiente. Esta columna se utiliza en caso de que se requiera incluir el impuesto en la columna de Precio de Venta (Columna D). En caso de no manejar impuesto incluido dejar la columna vacía.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tc={8EEBEAA3-02C2-7644-9915-C06E343CE9C9}</author>
    <author>tc={AFDACAD2-5EBB-0E44-A7AA-5BD96FD08C73}</author>
    <author>tc={E8B7D7F7-D960-644B-9004-E84F01569849}</author>
    <author>tc={6302420F-BA77-C247-8D65-E70E8D41E1E6}</author>
    <author>tc={E0EB9314-F2BE-A142-8A5A-DAF9752D26F5}</author>
    <author>tc={D2FF7A24-E174-CA48-85F1-FDD748E77DA0}</author>
    <author>tc={AB20F211-F656-0543-9B70-B9D0769AD9CC}</author>
  </authors>
  <commentList>
    <comment ref="A2" authorId="0" shapeId="0" xr:uid="{8EEBEAA3-02C2-7644-9915-C06E343CE9C9}">
      <text>
        <t>[Comentario encadenado]
Su versión de Excel le permite leer este comentario encadenado; sin embargo, las ediciones que se apliquen se quitarán si el archivo se abre en una versión más reciente de Excel. Más información: https://go.microsoft.com/fwlink/?linkid=870924
Comentario:
    Código de la producción. Puede ser ingresado manualmente o dejarse en blanco para que el sistema asigne uno automáticamente.</t>
      </text>
    </comment>
    <comment ref="B2" authorId="1" shapeId="0" xr:uid="{AFDACAD2-5EBB-0E44-A7AA-5BD96FD08C73}">
      <text>
        <t>[Comentario encadenado]
Su versión de Excel le permite leer este comentario encadenado; sin embargo, las ediciones que se apliquen se quitarán si el archivo se abre en una versión más reciente de Excel. Más información: https://go.microsoft.com/fwlink/?linkid=870924
Comentario:
    Añadir el nombre del proceso mediante el cual se transforman insumos o materias primas en produccion.</t>
      </text>
    </comment>
    <comment ref="C2" authorId="2" shapeId="0" xr:uid="{E8B7D7F7-D960-644B-9004-E84F01569849}">
      <text>
        <t>[Comentario encadenado]
Su versión de Excel le permite leer este comentario encadenado; sin embargo, las ediciones que se apliquen se quitarán si el archivo se abre en una versión más reciente de Excel. Más información: https://go.microsoft.com/fwlink/?linkid=870924
Comentario:
    Cantidad o receta Basica de la Produccion.</t>
      </text>
    </comment>
    <comment ref="D2" authorId="3" shapeId="0" xr:uid="{6302420F-BA77-C247-8D65-E70E8D41E1E6}">
      <text>
        <t>[Comentario encadenado]
Su versión de Excel le permite leer este comentario encadenado; sin embargo, las ediciones que se apliquen se quitarán si el archivo se abre en una versión más reciente de Excel. Más información: https://go.microsoft.com/fwlink/?linkid=870924
Comentario:
    Unidad de medida de la produccion.</t>
      </text>
    </comment>
    <comment ref="F2" authorId="4" shapeId="0" xr:uid="{E0EB9314-F2BE-A142-8A5A-DAF9752D26F5}">
      <text>
        <t>[Comentario encadenado]
Su versión de Excel le permite leer este comentario encadenado; sin embargo, las ediciones que se apliquen se quitarán si el archivo se abre en una versión más reciente de Excel. Más información: https://go.microsoft.com/fwlink/?linkid=870924
Comentario:
    Ingrediente , insumos o materias primas</t>
      </text>
    </comment>
    <comment ref="G2" authorId="5" shapeId="0" xr:uid="{D2FF7A24-E174-CA48-85F1-FDD748E77DA0}">
      <text>
        <t>[Comentario encadenado]
Su versión de Excel le permite leer este comentario encadenado; sin embargo, las ediciones que se apliquen se quitarán si el archivo se abre en una versión más reciente de Excel. Más información: https://go.microsoft.com/fwlink/?linkid=870924
Comentario:
    Cantidad de los ingredientes.</t>
      </text>
    </comment>
    <comment ref="H2" authorId="6" shapeId="0" xr:uid="{AB20F211-F656-0543-9B70-B9D0769AD9CC}">
      <text>
        <t>[Comentario encadenado]
Su versión de Excel le permite leer este comentario encadenado; sin embargo, las ediciones que se apliquen se quitarán si el archivo se abre en una versión más reciente de Excel. Más información: https://go.microsoft.com/fwlink/?linkid=870924
Comentario:
    Unidad de medida de los ingredientes.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tc={A62360DD-1C33-A342-9FCC-B590A631BF9E}</author>
    <author>tc={B133817C-F14D-EB47-ADAC-5712C140C614}</author>
    <author>tc={F7357EE5-7345-E747-B714-F4D8E13FE93C}</author>
    <author>tc={16B87C93-E814-594B-9C5B-2D3F39E67941}</author>
  </authors>
  <commentList>
    <comment ref="B1" authorId="0" shapeId="0" xr:uid="{A62360DD-1C33-A342-9FCC-B590A631BF9E}">
      <text>
        <t>[Comentario encadenado]
Su versión de Excel le permite leer este comentario encadenado; sin embargo, las ediciones que se apliquen se quitarán si el archivo se abre en una versión más reciente de Excel. Más información: https://go.microsoft.com/fwlink/?linkid=870924
Comentario:
    Nombre del items o producto de venta.</t>
      </text>
    </comment>
    <comment ref="D1" authorId="1" shapeId="0" xr:uid="{B133817C-F14D-EB47-ADAC-5712C140C614}">
      <text>
        <t>[Comentario encadenado]
Su versión de Excel le permite leer este comentario encadenado; sin embargo, las ediciones que se apliquen se quitarán si el archivo se abre en una versión más reciente de Excel. Más información: https://go.microsoft.com/fwlink/?linkid=870924
Comentario:
    Nombre del ingrediente o nombre del proceso mediante el cual se transforman insumos o materias primas en produccion.</t>
      </text>
    </comment>
    <comment ref="E1" authorId="2" shapeId="0" xr:uid="{F7357EE5-7345-E747-B714-F4D8E13FE93C}">
      <text>
        <t>[Comentario encadenado]
Su versión de Excel le permite leer este comentario encadenado; sin embargo, las ediciones que se apliquen se quitarán si el archivo se abre en una versión más reciente de Excel. Más información: https://go.microsoft.com/fwlink/?linkid=870924
Comentario:
    Cantidad de los ingredientes o producciones</t>
      </text>
    </comment>
    <comment ref="F1" authorId="3" shapeId="0" xr:uid="{16B87C93-E814-594B-9C5B-2D3F39E67941}">
      <text>
        <t>[Comentario encadenado]
Su versión de Excel le permite leer este comentario encadenado; sin embargo, las ediciones que se apliquen se quitarán si el archivo se abre en una versión más reciente de Excel. Más información: https://go.microsoft.com/fwlink/?linkid=870924
Comentario:
    Unidad de medida de los ingredientes o producciones.</t>
      </text>
    </comment>
  </commentList>
</comments>
</file>

<file path=xl/sharedStrings.xml><?xml version="1.0" encoding="utf-8"?>
<sst xmlns="http://schemas.openxmlformats.org/spreadsheetml/2006/main" count="5123" uniqueCount="741">
  <si>
    <t>Code</t>
  </si>
  <si>
    <t>Name</t>
  </si>
  <si>
    <t>Cod. Familia / Departamento</t>
  </si>
  <si>
    <t>Cant. Inventario</t>
  </si>
  <si>
    <t>Cod. Unidad</t>
  </si>
  <si>
    <t>Min</t>
  </si>
  <si>
    <t>Max</t>
  </si>
  <si>
    <t>Cost</t>
  </si>
  <si>
    <t>Bar Code</t>
  </si>
  <si>
    <t>Reorder Point</t>
  </si>
  <si>
    <t>R. Qty</t>
  </si>
  <si>
    <t>Waste</t>
  </si>
  <si>
    <t>Cod. Warehouse</t>
  </si>
  <si>
    <t>Producto Final? (Si,No)</t>
  </si>
  <si>
    <t>Precio Venta</t>
  </si>
  <si>
    <t>Impuesto Item</t>
  </si>
  <si>
    <t>Cod. Categoria Item</t>
  </si>
  <si>
    <t>Cod. Item</t>
  </si>
  <si>
    <t>Cod. Autor</t>
  </si>
  <si>
    <t>Cod. Colección</t>
  </si>
  <si>
    <t>Activo? (Si/No)</t>
  </si>
  <si>
    <t>Descripcion</t>
  </si>
  <si>
    <t>Precio Especial</t>
  </si>
  <si>
    <t>Caracteristica1</t>
  </si>
  <si>
    <t>Venta Online Ecommerce? (Si/No)</t>
  </si>
  <si>
    <t>Nombre de Imagen</t>
  </si>
  <si>
    <t>Unidad de Inventario de Producto</t>
  </si>
  <si>
    <t>Proteinas</t>
  </si>
  <si>
    <t>No</t>
  </si>
  <si>
    <t>W100</t>
  </si>
  <si>
    <t>Presentacion del proveedor</t>
  </si>
  <si>
    <t>Costo Proveedor</t>
  </si>
  <si>
    <t>PR001</t>
  </si>
  <si>
    <t>PR002</t>
  </si>
  <si>
    <t>PR003</t>
  </si>
  <si>
    <t>PR004</t>
  </si>
  <si>
    <t>PR005</t>
  </si>
  <si>
    <t>PR006</t>
  </si>
  <si>
    <t>PR007</t>
  </si>
  <si>
    <t>PR008</t>
  </si>
  <si>
    <t>Unidad</t>
  </si>
  <si>
    <t>Item Name</t>
  </si>
  <si>
    <t>Open Price? (Si/No)</t>
  </si>
  <si>
    <t>Sale Price</t>
  </si>
  <si>
    <t>Category Code</t>
  </si>
  <si>
    <t>Category Name</t>
  </si>
  <si>
    <t>Tax</t>
  </si>
  <si>
    <t>Active? (Si/No)</t>
  </si>
  <si>
    <t>Commission</t>
  </si>
  <si>
    <t>Commission Type ($ / %)</t>
  </si>
  <si>
    <t>Special Price</t>
  </si>
  <si>
    <t>Allow Ecommerce Sale ? (Si/No)</t>
  </si>
  <si>
    <t>Ecommerce Sale Price</t>
  </si>
  <si>
    <t>Description</t>
  </si>
  <si>
    <t>Photo Name</t>
  </si>
  <si>
    <t>Ecommerce Name</t>
  </si>
  <si>
    <t>Item Type (Normal, Gift Card, Certificado, Abono, Suscripcion, Domicilio, Tarifa de Cuarto)</t>
  </si>
  <si>
    <t>Ecommerce Category Code</t>
  </si>
  <si>
    <t>Ecommerce Category Name</t>
  </si>
  <si>
    <t>Integration Code</t>
  </si>
  <si>
    <t>Tax on Item</t>
  </si>
  <si>
    <t>Sub-Category Name</t>
  </si>
  <si>
    <t>Whisky Singleton</t>
  </si>
  <si>
    <t>$ 0.00</t>
  </si>
  <si>
    <t>Whisky</t>
  </si>
  <si>
    <t>  </t>
  </si>
  <si>
    <t>Whisky Sello Negro</t>
  </si>
  <si>
    <t>Whisky Macallan Dbcask 18 AÑos</t>
  </si>
  <si>
    <t>$ 28,000,000.00</t>
  </si>
  <si>
    <t>Whisly Glenmorangie Quinta Ruba</t>
  </si>
  <si>
    <t>$ 550,000.00</t>
  </si>
  <si>
    <t>Whisly Glenmorangie Original</t>
  </si>
  <si>
    <t>$ 450,000.00</t>
  </si>
  <si>
    <t>Whisly Glenmorangie Nectar</t>
  </si>
  <si>
    <t>$ 650,000.00</t>
  </si>
  <si>
    <t>NO</t>
  </si>
  <si>
    <t>Licores</t>
  </si>
  <si>
    <t>Gin Tonic Tanqueray</t>
  </si>
  <si>
    <t>$ 55,000.00</t>
  </si>
  <si>
    <t>Cócteles</t>
  </si>
  <si>
    <t>Gin Tonic Hendrics</t>
  </si>
  <si>
    <t>Margarita Premium 2x1</t>
  </si>
  <si>
    <t>$ 50,000.00</t>
  </si>
  <si>
    <t>Tizon Kiwi Lychee</t>
  </si>
  <si>
    <t>Cocteles</t>
  </si>
  <si>
    <t>M1</t>
  </si>
  <si>
    <t>M2</t>
  </si>
  <si>
    <t>M3</t>
  </si>
  <si>
    <t>M4</t>
  </si>
  <si>
    <t>M5</t>
  </si>
  <si>
    <t>M6</t>
  </si>
  <si>
    <t>M7</t>
  </si>
  <si>
    <t>M8</t>
  </si>
  <si>
    <t>M9</t>
  </si>
  <si>
    <t>M10</t>
  </si>
  <si>
    <t>Modificador 1</t>
  </si>
  <si>
    <t>Opciones de Modificador 1</t>
  </si>
  <si>
    <t>Precio de modificadro 1</t>
  </si>
  <si>
    <t xml:space="preserve">Trago </t>
  </si>
  <si>
    <t xml:space="preserve">Botella </t>
  </si>
  <si>
    <t>Opciones de Modificador 2</t>
  </si>
  <si>
    <t>Precio de modificadro 2</t>
  </si>
  <si>
    <t>Modificador 2</t>
  </si>
  <si>
    <t xml:space="preserve">Con Hielo </t>
  </si>
  <si>
    <t>Sin Hielo</t>
  </si>
  <si>
    <t>Opciond de Barra</t>
  </si>
  <si>
    <t xml:space="preserve">Nombre de la Produccion </t>
  </si>
  <si>
    <t xml:space="preserve">Redimiento </t>
  </si>
  <si>
    <t>unidad</t>
  </si>
  <si>
    <t>Codigo</t>
  </si>
  <si>
    <t>SB001</t>
  </si>
  <si>
    <t xml:space="preserve">Ingredientes </t>
  </si>
  <si>
    <t>Cantidad</t>
  </si>
  <si>
    <t>Ajo</t>
  </si>
  <si>
    <t>SB002</t>
  </si>
  <si>
    <t>PR009</t>
  </si>
  <si>
    <t>PR010</t>
  </si>
  <si>
    <t>PR011</t>
  </si>
  <si>
    <t xml:space="preserve">Nombre de Items </t>
  </si>
  <si>
    <t>Productos y Producciones</t>
  </si>
  <si>
    <t>Hamburguesa Especial</t>
  </si>
  <si>
    <t>M11</t>
  </si>
  <si>
    <t>Platos Fuertes</t>
  </si>
  <si>
    <t>Menu Alimentos</t>
  </si>
  <si>
    <t>Codigo de Items</t>
  </si>
  <si>
    <t>Cod Ingrediente</t>
  </si>
  <si>
    <t>Codigo Producto</t>
  </si>
  <si>
    <t>Panceta de cerdo</t>
  </si>
  <si>
    <t xml:space="preserve">chicharrón </t>
  </si>
  <si>
    <t>Achiote</t>
  </si>
  <si>
    <t>Aji dulce</t>
  </si>
  <si>
    <t>Caldo de pollo</t>
  </si>
  <si>
    <t>Caldo de res</t>
  </si>
  <si>
    <t>Cebolla blanca</t>
  </si>
  <si>
    <t>Chile ancho</t>
  </si>
  <si>
    <t>Chile de arbol</t>
  </si>
  <si>
    <t>Chile guajillo</t>
  </si>
  <si>
    <t>Comino</t>
  </si>
  <si>
    <t>Coriandro</t>
  </si>
  <si>
    <t xml:space="preserve">Grasa de pecho </t>
  </si>
  <si>
    <t>tuetano de res</t>
  </si>
  <si>
    <t>hueso de res</t>
  </si>
  <si>
    <t>manteca de cerdo</t>
  </si>
  <si>
    <t xml:space="preserve">Laurel </t>
  </si>
  <si>
    <t>canela en polvo</t>
  </si>
  <si>
    <t xml:space="preserve">color amarillo </t>
  </si>
  <si>
    <t>Oregano en escamas</t>
  </si>
  <si>
    <t>Pimienta entera blanca</t>
  </si>
  <si>
    <t>Pimienta entera negra</t>
  </si>
  <si>
    <t>Pimienta de olor-Jamica</t>
  </si>
  <si>
    <t>Pimienta molida</t>
  </si>
  <si>
    <t>Sal común</t>
  </si>
  <si>
    <t xml:space="preserve">Tomate chonto </t>
  </si>
  <si>
    <t xml:space="preserve">Limon </t>
  </si>
  <si>
    <t>pimenton verde</t>
  </si>
  <si>
    <t xml:space="preserve">chile poblano </t>
  </si>
  <si>
    <t xml:space="preserve">Tomatillo </t>
  </si>
  <si>
    <t>Jalapeño verde</t>
  </si>
  <si>
    <t xml:space="preserve">Chile morita </t>
  </si>
  <si>
    <t>Chile serrano</t>
  </si>
  <si>
    <t xml:space="preserve">Chile abanero </t>
  </si>
  <si>
    <t>Chile puya</t>
  </si>
  <si>
    <t>epasote-paico</t>
  </si>
  <si>
    <t xml:space="preserve">Maíz blanco </t>
  </si>
  <si>
    <t>Tomillo</t>
  </si>
  <si>
    <t>Sal nitro rosada</t>
  </si>
  <si>
    <t xml:space="preserve">aniz estrellado </t>
  </si>
  <si>
    <t>clavo de olor</t>
  </si>
  <si>
    <t>ajonjoli</t>
  </si>
  <si>
    <t>Maní blanco</t>
  </si>
  <si>
    <t>Nuez moscada</t>
  </si>
  <si>
    <t>Leña para ahumar</t>
  </si>
  <si>
    <t>Mayonesa Hellemans</t>
  </si>
  <si>
    <t>Arroz diana premiun</t>
  </si>
  <si>
    <t>vainilla negra</t>
  </si>
  <si>
    <t>Leche condensada</t>
  </si>
  <si>
    <t>Canela en astilla</t>
  </si>
  <si>
    <t xml:space="preserve">esencia de horchata </t>
  </si>
  <si>
    <t xml:space="preserve">caramelo </t>
  </si>
  <si>
    <t>Flor de jamiaca</t>
  </si>
  <si>
    <t>Azucar</t>
  </si>
  <si>
    <t xml:space="preserve">Pulpa de tamarindo </t>
  </si>
  <si>
    <t>Limonaria</t>
  </si>
  <si>
    <t>Mora</t>
  </si>
  <si>
    <t>Cardamomo</t>
  </si>
  <si>
    <t>Aniz estrellado</t>
  </si>
  <si>
    <t>Jengibre</t>
  </si>
  <si>
    <t>Naranja</t>
  </si>
  <si>
    <t>Aceite de maiz</t>
  </si>
  <si>
    <t>Bolsa al vacio 40x60 empacar carne</t>
  </si>
  <si>
    <t>bolsa 25 x 20 (grasa)</t>
  </si>
  <si>
    <t>Bolsa plana flexible 43x41</t>
  </si>
  <si>
    <t>bolsa planaflexible 32x36</t>
  </si>
  <si>
    <t>bolsa para empacar hueso</t>
  </si>
  <si>
    <t>Bolsa capucha canastilla</t>
  </si>
  <si>
    <t>Bolsa Jumbo basura verde</t>
  </si>
  <si>
    <t>Bolsa jumbo bausra negra</t>
  </si>
  <si>
    <t>Rollo Industrial Cocina</t>
  </si>
  <si>
    <t>bolsa jumbo blanca</t>
  </si>
  <si>
    <t>bolsa baño negra</t>
  </si>
  <si>
    <t>Color paprika</t>
  </si>
  <si>
    <t>vinagre blanco</t>
  </si>
  <si>
    <t>vinagre manzana</t>
  </si>
  <si>
    <t>cebolla en polvo</t>
  </si>
  <si>
    <t>sirope de maiz</t>
  </si>
  <si>
    <t>caldo camaron</t>
  </si>
  <si>
    <t>acido citrico</t>
  </si>
  <si>
    <t>color fresa</t>
  </si>
  <si>
    <t>passata de cecca clasica</t>
  </si>
  <si>
    <t>concentrado de tomate</t>
  </si>
  <si>
    <t>salsa de ostras</t>
  </si>
  <si>
    <t>Tapabocas</t>
  </si>
  <si>
    <t>Guantes Nitrilo</t>
  </si>
  <si>
    <t>pastilla horno verde</t>
  </si>
  <si>
    <t>pastilla horno azul</t>
  </si>
  <si>
    <t>Waypoll</t>
  </si>
  <si>
    <t>Gramos</t>
  </si>
  <si>
    <t>mililitro</t>
  </si>
  <si>
    <t>Carne de res (Descargue)</t>
  </si>
  <si>
    <t>PR012</t>
  </si>
  <si>
    <t>PR013</t>
  </si>
  <si>
    <t>PR014</t>
  </si>
  <si>
    <t>PR015</t>
  </si>
  <si>
    <t>PR016</t>
  </si>
  <si>
    <t>PR017</t>
  </si>
  <si>
    <t>PR018</t>
  </si>
  <si>
    <t>PR019</t>
  </si>
  <si>
    <t>PR020</t>
  </si>
  <si>
    <t>PR021</t>
  </si>
  <si>
    <t>PR022</t>
  </si>
  <si>
    <t>PR023</t>
  </si>
  <si>
    <t>PR024</t>
  </si>
  <si>
    <t>PR025</t>
  </si>
  <si>
    <t>PR026</t>
  </si>
  <si>
    <t>PR027</t>
  </si>
  <si>
    <t>PR028</t>
  </si>
  <si>
    <t>PR030</t>
  </si>
  <si>
    <t>PR031</t>
  </si>
  <si>
    <t>PR032</t>
  </si>
  <si>
    <t>PR033</t>
  </si>
  <si>
    <t>PR034</t>
  </si>
  <si>
    <t>PR035</t>
  </si>
  <si>
    <t>PR036</t>
  </si>
  <si>
    <t>PR037</t>
  </si>
  <si>
    <t>PR038</t>
  </si>
  <si>
    <t>PR039</t>
  </si>
  <si>
    <t>PR040</t>
  </si>
  <si>
    <t>PR041</t>
  </si>
  <si>
    <t>PR042</t>
  </si>
  <si>
    <t>PR043</t>
  </si>
  <si>
    <t>PR044</t>
  </si>
  <si>
    <t>PR045</t>
  </si>
  <si>
    <t>PR046</t>
  </si>
  <si>
    <t>PR047</t>
  </si>
  <si>
    <t>PR048</t>
  </si>
  <si>
    <t>PR049</t>
  </si>
  <si>
    <t>PR050</t>
  </si>
  <si>
    <t>PR051</t>
  </si>
  <si>
    <t>PR052</t>
  </si>
  <si>
    <t>PR053</t>
  </si>
  <si>
    <t>PR054</t>
  </si>
  <si>
    <t>PR055</t>
  </si>
  <si>
    <t>PR056</t>
  </si>
  <si>
    <t>PR057</t>
  </si>
  <si>
    <t>PR058</t>
  </si>
  <si>
    <t>PR059</t>
  </si>
  <si>
    <t>PR060</t>
  </si>
  <si>
    <t>PR061</t>
  </si>
  <si>
    <t>PR062</t>
  </si>
  <si>
    <t>PR063</t>
  </si>
  <si>
    <t>PR064</t>
  </si>
  <si>
    <t>PR065</t>
  </si>
  <si>
    <t>PR066</t>
  </si>
  <si>
    <t>PR067</t>
  </si>
  <si>
    <t>SI</t>
  </si>
  <si>
    <t>PEY01</t>
  </si>
  <si>
    <t>PEY02</t>
  </si>
  <si>
    <t>PEY03</t>
  </si>
  <si>
    <t>PEY04</t>
  </si>
  <si>
    <t>PEY05</t>
  </si>
  <si>
    <t>PEY06</t>
  </si>
  <si>
    <t>PEY07</t>
  </si>
  <si>
    <t>PEY08</t>
  </si>
  <si>
    <t>PEY09</t>
  </si>
  <si>
    <t>PR068</t>
  </si>
  <si>
    <t>PR069</t>
  </si>
  <si>
    <t>PR070</t>
  </si>
  <si>
    <t>PR071</t>
  </si>
  <si>
    <t>PR072</t>
  </si>
  <si>
    <t>PR073</t>
  </si>
  <si>
    <t>PR074</t>
  </si>
  <si>
    <t>PR075</t>
  </si>
  <si>
    <t>PR076</t>
  </si>
  <si>
    <t>PR077</t>
  </si>
  <si>
    <t>PR078</t>
  </si>
  <si>
    <t>PR079</t>
  </si>
  <si>
    <t>PEY10</t>
  </si>
  <si>
    <t>PEY11</t>
  </si>
  <si>
    <t>PEY12</t>
  </si>
  <si>
    <t>Especias y condimentos</t>
  </si>
  <si>
    <t>Vegetales y Hortalizas</t>
  </si>
  <si>
    <t>Otros</t>
  </si>
  <si>
    <t>Aceites y grasas</t>
  </si>
  <si>
    <t>Empaques</t>
  </si>
  <si>
    <t>aceite fritol</t>
  </si>
  <si>
    <t>si</t>
  </si>
  <si>
    <t>otros</t>
  </si>
  <si>
    <t>SALSA TAQUERA ROGELIO</t>
  </si>
  <si>
    <t>Litro</t>
  </si>
  <si>
    <t>gramos</t>
  </si>
  <si>
    <t>AGUA POTABLE</t>
  </si>
  <si>
    <t>Mililitro</t>
  </si>
  <si>
    <t>SALSA PICANTE</t>
  </si>
  <si>
    <t>Chile morita</t>
  </si>
  <si>
    <t>PRO33</t>
  </si>
  <si>
    <t>ajo</t>
  </si>
  <si>
    <t>sal comun</t>
  </si>
  <si>
    <t>SB003</t>
  </si>
  <si>
    <t>SALA TAQUERA AUTOCAR</t>
  </si>
  <si>
    <t>Tomatillo</t>
  </si>
  <si>
    <t>Tomate Chonto</t>
  </si>
  <si>
    <t>PR083</t>
  </si>
  <si>
    <t>PR082</t>
  </si>
  <si>
    <t>Aceite de Oliva</t>
  </si>
  <si>
    <t>aceite oliva</t>
  </si>
  <si>
    <t>mililitros</t>
  </si>
  <si>
    <t xml:space="preserve">Pimienta moilda </t>
  </si>
  <si>
    <t>SB004</t>
  </si>
  <si>
    <t>SALSA VERDE</t>
  </si>
  <si>
    <t>Cebolla Blanca</t>
  </si>
  <si>
    <t>Sal</t>
  </si>
  <si>
    <t>PRO83</t>
  </si>
  <si>
    <t>Aceite oliva</t>
  </si>
  <si>
    <t xml:space="preserve">agua </t>
  </si>
  <si>
    <t>SB005</t>
  </si>
  <si>
    <t>SALSA ROJA</t>
  </si>
  <si>
    <t>Litros</t>
  </si>
  <si>
    <t>chile de arbol</t>
  </si>
  <si>
    <t>Tomate chonto</t>
  </si>
  <si>
    <t>cebolla blanca</t>
  </si>
  <si>
    <t>agua</t>
  </si>
  <si>
    <t>SB006</t>
  </si>
  <si>
    <t>SALSA MACHA</t>
  </si>
  <si>
    <t>litros</t>
  </si>
  <si>
    <t>chile arbol</t>
  </si>
  <si>
    <t>chile morita</t>
  </si>
  <si>
    <t>chile puya</t>
  </si>
  <si>
    <t>Mani blanco</t>
  </si>
  <si>
    <t>aceite de maiz</t>
  </si>
  <si>
    <t>SB007</t>
  </si>
  <si>
    <t>ADOBO PASTOR</t>
  </si>
  <si>
    <t>comino</t>
  </si>
  <si>
    <t>color amarillo</t>
  </si>
  <si>
    <t>sal nitro rosada</t>
  </si>
  <si>
    <t xml:space="preserve">chile ancho </t>
  </si>
  <si>
    <t>chile guajillo</t>
  </si>
  <si>
    <t>achiote</t>
  </si>
  <si>
    <t xml:space="preserve">agua potable </t>
  </si>
  <si>
    <t>SB008</t>
  </si>
  <si>
    <t>GRASA ROJA</t>
  </si>
  <si>
    <t>kilos</t>
  </si>
  <si>
    <t>chile ancho</t>
  </si>
  <si>
    <t>color paprika</t>
  </si>
  <si>
    <t>aji dulce</t>
  </si>
  <si>
    <t>SB009</t>
  </si>
  <si>
    <t>TUETANO COCIDO</t>
  </si>
  <si>
    <t xml:space="preserve">sal </t>
  </si>
  <si>
    <t>SB010</t>
  </si>
  <si>
    <t>caldo pollo</t>
  </si>
  <si>
    <t>caldo res</t>
  </si>
  <si>
    <t xml:space="preserve">gramos </t>
  </si>
  <si>
    <t>coriandro</t>
  </si>
  <si>
    <t>carne de res</t>
  </si>
  <si>
    <t>laurel</t>
  </si>
  <si>
    <t>oregano</t>
  </si>
  <si>
    <t>pimienta blanca</t>
  </si>
  <si>
    <t>pimienta olor-jamaica</t>
  </si>
  <si>
    <t>pimienta entera negra</t>
  </si>
  <si>
    <t>sal</t>
  </si>
  <si>
    <t>Tomante Chonto</t>
  </si>
  <si>
    <t>SB011</t>
  </si>
  <si>
    <t>CALDO BIRRIA</t>
  </si>
  <si>
    <t>grasa de pecho</t>
  </si>
  <si>
    <t>SB012</t>
  </si>
  <si>
    <t>CALDO ESQUITES</t>
  </si>
  <si>
    <t>chile poblano</t>
  </si>
  <si>
    <t xml:space="preserve">cebolla blanca </t>
  </si>
  <si>
    <t>caldo de res</t>
  </si>
  <si>
    <t xml:space="preserve">chile arbol </t>
  </si>
  <si>
    <t xml:space="preserve">pimienta molida </t>
  </si>
  <si>
    <t>Epasote-paico</t>
  </si>
  <si>
    <t>agua potable</t>
  </si>
  <si>
    <t>SUB013</t>
  </si>
  <si>
    <t>PANCETA AHUMADA</t>
  </si>
  <si>
    <t>KILOS</t>
  </si>
  <si>
    <t>pimienta de olor- jamaica</t>
  </si>
  <si>
    <t>nuez moscada</t>
  </si>
  <si>
    <t>canela en astilla</t>
  </si>
  <si>
    <t>aniz estrellado</t>
  </si>
  <si>
    <t xml:space="preserve">sal nitro rosada </t>
  </si>
  <si>
    <t xml:space="preserve">pimienta entera blanca </t>
  </si>
  <si>
    <t>panceta de cerdo</t>
  </si>
  <si>
    <t>Paprika ahumada</t>
  </si>
  <si>
    <t>paprika ahumada</t>
  </si>
  <si>
    <t>azucar</t>
  </si>
  <si>
    <t>pimienta molida</t>
  </si>
  <si>
    <t>SUB014</t>
  </si>
  <si>
    <t>LITROS</t>
  </si>
  <si>
    <t>flor de jamaica</t>
  </si>
  <si>
    <t>SUB015</t>
  </si>
  <si>
    <t>Pulpa tamarino</t>
  </si>
  <si>
    <t>SUB016</t>
  </si>
  <si>
    <t>leche condensada</t>
  </si>
  <si>
    <t>caramelo</t>
  </si>
  <si>
    <t>esencia de horchata</t>
  </si>
  <si>
    <t>esencia de vainilla pura</t>
  </si>
  <si>
    <t>esencia vainilla pura</t>
  </si>
  <si>
    <t>esencia vainilla negra</t>
  </si>
  <si>
    <t xml:space="preserve">arroz diana </t>
  </si>
  <si>
    <t>BIRRIA ROGELIO</t>
  </si>
  <si>
    <t>PEY13</t>
  </si>
  <si>
    <t>PEY14</t>
  </si>
  <si>
    <t>PEY15</t>
  </si>
  <si>
    <t>PEY16</t>
  </si>
  <si>
    <t>PEY17</t>
  </si>
  <si>
    <t>PEY18</t>
  </si>
  <si>
    <t>PEY19</t>
  </si>
  <si>
    <t>PEY20</t>
  </si>
  <si>
    <t>PEY21</t>
  </si>
  <si>
    <t>PEY22</t>
  </si>
  <si>
    <t>PEY23</t>
  </si>
  <si>
    <t>PEY24</t>
  </si>
  <si>
    <t>PEY25</t>
  </si>
  <si>
    <t>PEY26</t>
  </si>
  <si>
    <t>PEY27</t>
  </si>
  <si>
    <t>PEY28</t>
  </si>
  <si>
    <t>PEY29</t>
  </si>
  <si>
    <t>PEY30</t>
  </si>
  <si>
    <t>PEY31</t>
  </si>
  <si>
    <t>PEY32</t>
  </si>
  <si>
    <t>PEY33</t>
  </si>
  <si>
    <t>PEY34</t>
  </si>
  <si>
    <t>PEY35</t>
  </si>
  <si>
    <t>PEY36</t>
  </si>
  <si>
    <t>PEY37</t>
  </si>
  <si>
    <t>PEY38</t>
  </si>
  <si>
    <t>PEY39</t>
  </si>
  <si>
    <t>PEY40</t>
  </si>
  <si>
    <t>PEY41</t>
  </si>
  <si>
    <t>PEY42</t>
  </si>
  <si>
    <t>PEY43</t>
  </si>
  <si>
    <t>PEY44</t>
  </si>
  <si>
    <t>PEY45</t>
  </si>
  <si>
    <t>PEY46</t>
  </si>
  <si>
    <t>PEY47</t>
  </si>
  <si>
    <t>PEY48</t>
  </si>
  <si>
    <t>PEY49</t>
  </si>
  <si>
    <t>PEY50</t>
  </si>
  <si>
    <t>PEY51</t>
  </si>
  <si>
    <t>PEY52</t>
  </si>
  <si>
    <t>PEY53</t>
  </si>
  <si>
    <t>PEY54</t>
  </si>
  <si>
    <t>PEY55</t>
  </si>
  <si>
    <t>PEY56</t>
  </si>
  <si>
    <t>PEY57</t>
  </si>
  <si>
    <t>PEY58</t>
  </si>
  <si>
    <t>PEY59</t>
  </si>
  <si>
    <t>PEY60</t>
  </si>
  <si>
    <t>PEY61</t>
  </si>
  <si>
    <t>PEY62</t>
  </si>
  <si>
    <t>PEY63</t>
  </si>
  <si>
    <t>PEY64</t>
  </si>
  <si>
    <t>PEY65</t>
  </si>
  <si>
    <t>PEY66</t>
  </si>
  <si>
    <t>PEY67</t>
  </si>
  <si>
    <t>PEY68</t>
  </si>
  <si>
    <t>Tortillas Trigo 16 cm</t>
  </si>
  <si>
    <t>Queso doblecrema</t>
  </si>
  <si>
    <t>Tortillas  Maíz 11x40</t>
  </si>
  <si>
    <t>Tortillas Trigo 12 cm</t>
  </si>
  <si>
    <t>Tortillas Trigo 22 cm</t>
  </si>
  <si>
    <t>cebolla morada</t>
  </si>
  <si>
    <t>Cilantro</t>
  </si>
  <si>
    <t>Limón Taithy</t>
  </si>
  <si>
    <t>Pimenton mixto</t>
  </si>
  <si>
    <t>Piña</t>
  </si>
  <si>
    <t>Cereales y harinas</t>
  </si>
  <si>
    <t>lacteos</t>
  </si>
  <si>
    <t>Tabasco</t>
  </si>
  <si>
    <t>salsa ingelsa fresh</t>
  </si>
  <si>
    <t>sal de chamoy</t>
  </si>
  <si>
    <t>Cerveza club colombia dorada 473 ml</t>
  </si>
  <si>
    <t>Basukazo</t>
  </si>
  <si>
    <t>Agua Botella</t>
  </si>
  <si>
    <t>Cerveza Lata</t>
  </si>
  <si>
    <t>Gaseosas Pet</t>
  </si>
  <si>
    <t>Bolsa scraf cubiertos</t>
  </si>
  <si>
    <t>Papel parafinado</t>
  </si>
  <si>
    <t>Aluminio 300mt</t>
  </si>
  <si>
    <t>Vinipel</t>
  </si>
  <si>
    <t>Bolsa Camiseta 20 kilos</t>
  </si>
  <si>
    <t>Servilletas</t>
  </si>
  <si>
    <t>Guantes Plasticos</t>
  </si>
  <si>
    <t>Cucharas</t>
  </si>
  <si>
    <t>Vasos 12 oz</t>
  </si>
  <si>
    <t>Vasos 22 Oz  gold</t>
  </si>
  <si>
    <t>Tapa 22 onzas gold</t>
  </si>
  <si>
    <t>Patos de 20 cm GeoPack</t>
  </si>
  <si>
    <t>Waypooll</t>
  </si>
  <si>
    <t>Matrix</t>
  </si>
  <si>
    <t>scoth brite</t>
  </si>
  <si>
    <t>Scoop 2 onza carton</t>
  </si>
  <si>
    <t>Tapa scoop 2 onzas</t>
  </si>
  <si>
    <t xml:space="preserve">Sopero de 8 onzas carton </t>
  </si>
  <si>
    <t>Tapa sopero 8 onzas</t>
  </si>
  <si>
    <t>Sopero 16 onzas carton</t>
  </si>
  <si>
    <t xml:space="preserve">Tapa sopero 16 onzas </t>
  </si>
  <si>
    <t>Papel higienico</t>
  </si>
  <si>
    <t>Rollo papel industrial</t>
  </si>
  <si>
    <t>trapero</t>
  </si>
  <si>
    <t>Guantes de aseo</t>
  </si>
  <si>
    <t>Desengrasante</t>
  </si>
  <si>
    <t>Jabon Manos</t>
  </si>
  <si>
    <t>Gel Manos</t>
  </si>
  <si>
    <t>Jabon Multiusos</t>
  </si>
  <si>
    <t>Clorado</t>
  </si>
  <si>
    <t>Ecodes</t>
  </si>
  <si>
    <t>Pastilla Azul Rational</t>
  </si>
  <si>
    <t>pastilla Verde rational</t>
  </si>
  <si>
    <t>Pliego Lija</t>
  </si>
  <si>
    <t>Escoba</t>
  </si>
  <si>
    <t>Palo Repuesto</t>
  </si>
  <si>
    <t>Recogedor</t>
  </si>
  <si>
    <t>Sobre Manila-caja</t>
  </si>
  <si>
    <t>Rollo datafono</t>
  </si>
  <si>
    <t>Rollo Impresora</t>
  </si>
  <si>
    <t>Cofias-Gorro tipo oruga</t>
  </si>
  <si>
    <t>PEY69</t>
  </si>
  <si>
    <t>PEY70</t>
  </si>
  <si>
    <t>PEY71</t>
  </si>
  <si>
    <t>PEY72</t>
  </si>
  <si>
    <t>PEY73</t>
  </si>
  <si>
    <t>TENEDOR ECO GREEN</t>
  </si>
  <si>
    <t>PEY74</t>
  </si>
  <si>
    <t>PEY75</t>
  </si>
  <si>
    <t>PEY76</t>
  </si>
  <si>
    <t>vaso 16 onzas doble capa chayito</t>
  </si>
  <si>
    <t>scoop 0,5</t>
  </si>
  <si>
    <t>tapa 0,5</t>
  </si>
  <si>
    <t>Bebidas gaseosificadas</t>
  </si>
  <si>
    <t>PEY77</t>
  </si>
  <si>
    <t>SUB07</t>
  </si>
  <si>
    <t>CHAMOY</t>
  </si>
  <si>
    <t>SUB08</t>
  </si>
  <si>
    <t>CLAMATO</t>
  </si>
  <si>
    <t>Agua</t>
  </si>
  <si>
    <t>Flor de Jamaica</t>
  </si>
  <si>
    <t>Limón</t>
  </si>
  <si>
    <t>Pulpa Tamarindo</t>
  </si>
  <si>
    <t>PR084</t>
  </si>
  <si>
    <t>PR085</t>
  </si>
  <si>
    <t>PR086</t>
  </si>
  <si>
    <t>PR087</t>
  </si>
  <si>
    <t>Maicena-Fecula de maiz</t>
  </si>
  <si>
    <t>Goma xantana</t>
  </si>
  <si>
    <t>Ciruela Pasa desidratada</t>
  </si>
  <si>
    <t>Albaricoque</t>
  </si>
  <si>
    <t>Tajin</t>
  </si>
  <si>
    <t>PR088</t>
  </si>
  <si>
    <t>PR089</t>
  </si>
  <si>
    <t>Apio en polvo</t>
  </si>
  <si>
    <t>W101</t>
  </si>
  <si>
    <t>W102</t>
  </si>
  <si>
    <t>W103</t>
  </si>
  <si>
    <t>W104</t>
  </si>
  <si>
    <t>W105</t>
  </si>
  <si>
    <t>W106</t>
  </si>
  <si>
    <t>AGUA</t>
  </si>
  <si>
    <t>CALDO CAMARON</t>
  </si>
  <si>
    <t>Cebolla en polvo</t>
  </si>
  <si>
    <t>Acido citrico</t>
  </si>
  <si>
    <t>color fesa</t>
  </si>
  <si>
    <t>sirope maiz</t>
  </si>
  <si>
    <t>passatta de tomate</t>
  </si>
  <si>
    <t>PEY78</t>
  </si>
  <si>
    <t>PEY79</t>
  </si>
  <si>
    <t>PEY80</t>
  </si>
  <si>
    <t>PEY81</t>
  </si>
  <si>
    <t>PEY82</t>
  </si>
  <si>
    <t>PEY83</t>
  </si>
  <si>
    <t>PEY84</t>
  </si>
  <si>
    <t>PEY85</t>
  </si>
  <si>
    <t>PEY86</t>
  </si>
  <si>
    <t>PEY87</t>
  </si>
  <si>
    <t>PEY88</t>
  </si>
  <si>
    <t>PEY89</t>
  </si>
  <si>
    <t>PEY90</t>
  </si>
  <si>
    <t>PEY91</t>
  </si>
  <si>
    <t>PEY92</t>
  </si>
  <si>
    <t>PEY93</t>
  </si>
  <si>
    <t>PEY94</t>
  </si>
  <si>
    <t>PEY95</t>
  </si>
  <si>
    <t>PEY96</t>
  </si>
  <si>
    <t>PEY97</t>
  </si>
  <si>
    <t>PEY98</t>
  </si>
  <si>
    <t>PEY99</t>
  </si>
  <si>
    <t>Tortilla de maiz 17x40</t>
  </si>
  <si>
    <t>Tortillas de trigo 14 cm</t>
  </si>
  <si>
    <t>Tortillas fresca Maíz 11x32 autocar</t>
  </si>
  <si>
    <t>Agua en Botella</t>
  </si>
  <si>
    <t>Agua en botella</t>
  </si>
  <si>
    <t>MARCA</t>
  </si>
  <si>
    <t>TODAS</t>
  </si>
  <si>
    <t>Budweiser</t>
  </si>
  <si>
    <t>cerveza en lata</t>
  </si>
  <si>
    <t>Gaseosa pet</t>
  </si>
  <si>
    <t>Coca cola Normal</t>
  </si>
  <si>
    <t>Coca cola Zero</t>
  </si>
  <si>
    <t>Ginger</t>
  </si>
  <si>
    <t>Horchata</t>
  </si>
  <si>
    <t>Bebida de la casa</t>
  </si>
  <si>
    <t>ml</t>
  </si>
  <si>
    <t>HORCHATA PRODUCCION</t>
  </si>
  <si>
    <t>JAMAICA PRODUCCION</t>
  </si>
  <si>
    <t>TAMARINDO PRODUCCION</t>
  </si>
  <si>
    <t>horchata produccion</t>
  </si>
  <si>
    <t>Tapas vaso Gold</t>
  </si>
  <si>
    <t>OBSERVACION</t>
  </si>
  <si>
    <t>cuando es para llevar</t>
  </si>
  <si>
    <t>10 l</t>
  </si>
  <si>
    <t>5 l</t>
  </si>
  <si>
    <t>Jamaica</t>
  </si>
  <si>
    <t>Jamaica produccion</t>
  </si>
  <si>
    <t>Tamarindo</t>
  </si>
  <si>
    <t>Tamarindo Producción</t>
  </si>
  <si>
    <t>Michelada</t>
  </si>
  <si>
    <t>Chamoy</t>
  </si>
  <si>
    <t>Clamato</t>
  </si>
  <si>
    <t>Adiciones</t>
  </si>
  <si>
    <t>Salsa picante</t>
  </si>
  <si>
    <t>Porcion de tortilla</t>
  </si>
  <si>
    <t xml:space="preserve">Rogelio red </t>
  </si>
  <si>
    <t>Autocar al pastor</t>
  </si>
  <si>
    <t>Adicion queso</t>
  </si>
  <si>
    <t>Queso costeño</t>
  </si>
  <si>
    <t>ChayitoEsquites</t>
  </si>
  <si>
    <t>Adicion Chicharrón</t>
  </si>
  <si>
    <t>Caldo 8 onzas</t>
  </si>
  <si>
    <t>Platos Principales</t>
  </si>
  <si>
    <t>vampiro</t>
  </si>
  <si>
    <t>queso mozarella</t>
  </si>
  <si>
    <t>Platos geo 26 cm  Geopack</t>
  </si>
  <si>
    <t>Taco Rogelio</t>
  </si>
  <si>
    <t>Mulita</t>
  </si>
  <si>
    <t>Platos geo 23 cm  Geopack</t>
  </si>
  <si>
    <t>Lobita</t>
  </si>
  <si>
    <t>Quesabirria</t>
  </si>
  <si>
    <t>Bandeja Red lux</t>
  </si>
  <si>
    <t>Caldo Carnudo 16 onzas</t>
  </si>
  <si>
    <t>Taco al Pastor</t>
  </si>
  <si>
    <t>SUB09</t>
  </si>
  <si>
    <t>TROMPO AL PASTOR</t>
  </si>
  <si>
    <t>Brazo de cerdo</t>
  </si>
  <si>
    <t>Bondiola de cerdo</t>
  </si>
  <si>
    <t>proteinas</t>
  </si>
  <si>
    <t>Volcan</t>
  </si>
  <si>
    <t>Quesadilla al pastor</t>
  </si>
  <si>
    <t>Gringa</t>
  </si>
  <si>
    <t>Alambre</t>
  </si>
  <si>
    <t>Pimenton</t>
  </si>
  <si>
    <t>Bandeja Turbo</t>
  </si>
  <si>
    <t>PR090</t>
  </si>
  <si>
    <t>Maiz Blanco</t>
  </si>
  <si>
    <t>SUB10</t>
  </si>
  <si>
    <t>MAYONESA  LIMON</t>
  </si>
  <si>
    <t>MILILITROS</t>
  </si>
  <si>
    <t>GRAMOS</t>
  </si>
  <si>
    <t>Esquite Chicharrón</t>
  </si>
  <si>
    <t>Esquite Clasico</t>
  </si>
  <si>
    <t xml:space="preserve">Tapa Vaso 16 onzas </t>
  </si>
  <si>
    <t>Esquite Mixto</t>
  </si>
  <si>
    <t>SUB11</t>
  </si>
  <si>
    <t>Esquite Tuetano</t>
  </si>
  <si>
    <t>Esquite Barriga</t>
  </si>
  <si>
    <t xml:space="preserve">RECEPCION INCIAL </t>
  </si>
  <si>
    <t>ALMACEN-COMPRAS</t>
  </si>
  <si>
    <t>PUNTOS DE VENTA</t>
  </si>
  <si>
    <t xml:space="preserve">AUTOCAR Y PLANTA </t>
  </si>
  <si>
    <t>ROGELIOS Y EVENTOS</t>
  </si>
  <si>
    <t>AUTOCAR Y EVENTOS</t>
  </si>
  <si>
    <t>TODOS LOS PUNTOS</t>
  </si>
  <si>
    <t xml:space="preserve">AUTOCAR </t>
  </si>
  <si>
    <t xml:space="preserve">ROGELIO </t>
  </si>
  <si>
    <t>ROGELIO Y EVENTOS</t>
  </si>
  <si>
    <t>Eventos</t>
  </si>
  <si>
    <t>ADICIONES</t>
  </si>
  <si>
    <t>Caldo 4 onzas</t>
  </si>
  <si>
    <t>Sopero de 4 onzas</t>
  </si>
  <si>
    <t>Tapa sopero 4 onzas</t>
  </si>
  <si>
    <t>Horchata 9 onzas</t>
  </si>
  <si>
    <t>Jamaica 9 onzas</t>
  </si>
  <si>
    <t>Tamarindo 9 onzas</t>
  </si>
  <si>
    <t>vaso 9 onzas</t>
  </si>
  <si>
    <t>tapa vaso 9 onzas</t>
  </si>
  <si>
    <t>Vasos 9 onzas</t>
  </si>
  <si>
    <t>Tapa vaso 9 onzas</t>
  </si>
  <si>
    <t>Takis</t>
  </si>
  <si>
    <t>Tostacos</t>
  </si>
  <si>
    <t>Palomitas de maíz</t>
  </si>
  <si>
    <t>Esquite Takis</t>
  </si>
  <si>
    <t>Esquite Tostacos</t>
  </si>
  <si>
    <t>Esquite Palomitas de Maiz</t>
  </si>
  <si>
    <t>SUB12</t>
  </si>
  <si>
    <t>PEY100</t>
  </si>
  <si>
    <t>PEY101</t>
  </si>
  <si>
    <t>PEY102</t>
  </si>
  <si>
    <t>PEY103</t>
  </si>
  <si>
    <t>PEY104</t>
  </si>
  <si>
    <t>Curcuma</t>
  </si>
  <si>
    <t>Papa</t>
  </si>
  <si>
    <t>Levadura</t>
  </si>
  <si>
    <t>Huevo</t>
  </si>
  <si>
    <t>Margarina</t>
  </si>
  <si>
    <t>Mantequilla</t>
  </si>
  <si>
    <t xml:space="preserve">Harina de trigo Az de oros </t>
  </si>
  <si>
    <t xml:space="preserve">PAN DE MODESTO </t>
  </si>
  <si>
    <t>SUB13</t>
  </si>
  <si>
    <t>UNIDADES</t>
  </si>
  <si>
    <t>Slaider</t>
  </si>
  <si>
    <t>Queso Americano</t>
  </si>
  <si>
    <t>cadera de res</t>
  </si>
  <si>
    <t>CARNE SLAIDER</t>
  </si>
  <si>
    <t>Trio Tacos Rogelio</t>
  </si>
  <si>
    <t>DUO Quesabirria</t>
  </si>
  <si>
    <t>SUB 14</t>
  </si>
  <si>
    <t>TOTES</t>
  </si>
  <si>
    <t>Harina promasa Blanca</t>
  </si>
  <si>
    <t>Porcion de totes x12</t>
  </si>
  <si>
    <t>PR091</t>
  </si>
  <si>
    <t>Canoa 1 kilo</t>
  </si>
  <si>
    <t>Porcion de totes x20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</si>
</sst>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indexed="8"/>
      <name val="Calibri"/>
      <family val="2"/>
    </font>
    <font>
      <sz val="11"/>
      <color indexed="8"/>
      <name val="Calibri"/>
      <family val="2"/>
    </font>
    <font>
      <sz val="11"/>
      <color rgb="FFFF0000"/>
      <name val="Calibri"/>
      <family val="2"/>
    </font>
    <font>
      <sz val="8"/>
      <name val="Calibri"/>
      <family val="2"/>
      <scheme val="minor"/>
    </font>
    <font>
      <sz val="11"/>
      <name val="Calibri"/>
      <family val="2"/>
    </font>
    <font>
      <u/>
      <sz val="11"/>
      <color theme="10"/>
      <name val="Calibri"/>
      <family val="2"/>
      <scheme val="minor"/>
    </font>
    <font>
      <u/>
      <sz val="11"/>
      <color theme="1"/>
      <name val="Calibri"/>
      <family val="2"/>
      <scheme val="minor"/>
    </font>
    <font>
      <sz val="10"/>
      <color rgb="FF000000"/>
      <name val="Calibri"/>
    </font>
  </fonts>
  <fills count="7">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applyFill="0" applyProtection="0"/>
    <xf numFmtId="0" fontId="6" fillId="0" borderId="0" applyNumberFormat="0" applyFill="0" applyBorder="0" applyAlignment="0" applyProtection="0"/>
  </cellStyleXfs>
  <cellXfs count="33">
    <xf numFmtId="0" fontId="0" fillId="0" borderId="0" xfId="0"/>
    <xf numFmtId="0" fontId="3" fillId="0" borderId="0" xfId="1" applyFont="1" applyFill="1" applyAlignment="1" applyProtection="1">
      <alignment horizontal="center" vertical="center" wrapText="1"/>
    </xf>
    <xf numFmtId="0" fontId="1" fillId="0" borderId="0" xfId="1" applyFill="1" applyAlignment="1" applyProtection="1">
      <alignment horizontal="center" vertical="center" wrapText="1"/>
    </xf>
    <xf numFmtId="0" fontId="2" fillId="0" borderId="0" xfId="1" applyFont="1" applyFill="1" applyAlignment="1" applyProtection="1">
      <alignment horizontal="center" vertical="center" wrapText="1"/>
    </xf>
    <xf numFmtId="0" fontId="0" fillId="0" borderId="0" xfId="0" applyAlignment="1">
      <alignment horizontal="center" vertical="center" wrapText="1"/>
    </xf>
    <xf numFmtId="2" fontId="3" fillId="0" borderId="0" xfId="1" applyNumberFormat="1" applyFont="1" applyFill="1" applyAlignment="1" applyProtection="1">
      <alignment horizontal="center" vertical="center" wrapText="1"/>
    </xf>
    <xf numFmtId="2" fontId="0" fillId="0" borderId="0" xfId="0" applyNumberFormat="1"/>
    <xf numFmtId="2" fontId="1" fillId="0" borderId="0" xfId="1" applyNumberFormat="1" applyFill="1" applyAlignment="1" applyProtection="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vertical="center" wrapText="1"/>
    </xf>
    <xf numFmtId="0" fontId="7" fillId="0" borderId="0" xfId="2" applyFont="1"/>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6" fillId="0" borderId="0" xfId="2" applyAlignment="1">
      <alignment horizontal="center"/>
    </xf>
    <xf numFmtId="0" fontId="6" fillId="0" borderId="0" xfId="2" applyAlignment="1">
      <alignment horizontal="center" vertical="center"/>
    </xf>
    <xf numFmtId="0" fontId="0" fillId="0" borderId="1" xfId="0" applyBorder="1"/>
    <xf numFmtId="0" fontId="0" fillId="0" borderId="1" xfId="0" applyBorder="1" applyAlignment="1">
      <alignment horizontal="center"/>
    </xf>
    <xf numFmtId="1"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4" borderId="1" xfId="0" applyFill="1" applyBorder="1" applyAlignment="1">
      <alignment horizontal="center"/>
    </xf>
    <xf numFmtId="0" fontId="0" fillId="0" borderId="2" xfId="0" applyBorder="1" applyAlignment="1">
      <alignment horizontal="center"/>
    </xf>
    <xf numFmtId="0" fontId="0" fillId="4" borderId="0" xfId="0" applyFill="1" applyAlignment="1">
      <alignment horizontal="center"/>
    </xf>
    <xf numFmtId="0" fontId="0" fillId="6" borderId="1" xfId="0" applyFill="1" applyBorder="1" applyAlignment="1">
      <alignment horizontal="center"/>
    </xf>
    <xf numFmtId="0" fontId="0" fillId="6" borderId="0" xfId="0" applyFill="1" applyAlignment="1">
      <alignment horizontal="center"/>
    </xf>
    <xf numFmtId="0" fontId="8" fillId="0" borderId="0" xfId="0" applyFont="1" applyAlignment="1">
      <alignment horizontal="left" vertical="center" wrapText="1"/>
    </xf>
    <xf numFmtId="0" fontId="0" fillId="0" borderId="0" xfId="0" applyAlignment="1">
      <alignment horizontal="left"/>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cellXfs>
  <cellStyles count="3">
    <cellStyle name="Hipervínculo"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2-23T17:18:40.47" personId="{00000000-0000-0000-0000-000000000000}" id="{41F79599-CCF2-415A-9378-2DC57AA471CC}">
    <text>Código del producto. Puede ser ingresado manualmente o dejarse en blanco para que el sistema asigne uno automáticamente.</text>
  </threadedComment>
  <threadedComment ref="B1" dT="2025-02-23T17:18:58.85" personId="{00000000-0000-0000-0000-000000000000}" id="{7732F024-2C33-4138-AED0-68DAC6F32167}">
    <text>Nombre del ingrediente.</text>
  </threadedComment>
  <threadedComment ref="C1" dT="2025-02-23T17:21:23.21" personId="{00000000-0000-0000-0000-000000000000}" id="{ACE43439-A1F5-433F-9EAD-572A4FFE6C50}">
    <text>Código de la familia o departamento al que pertenece el producto. No es obligatorio y, si se deja en blanco, el sistema asignará la familia por defecto.</text>
  </threadedComment>
  <threadedComment ref="E1" dT="2025-02-23T17:29:16.73" personId="{00000000-0000-0000-0000-000000000000}" id="{8BDF790E-3C31-4E2C-BF0A-E5B5A27F31EF}">
    <text>Código de la unidad de medida del producto el cual manejan sus recetas (ejemplo: gr, oz, unidad).</text>
  </threadedComment>
  <threadedComment ref="H1" dT="2025-02-23T17:30:00.12" personId="{00000000-0000-0000-0000-000000000000}" id="{98402962-5720-463E-B865-A57D8724EC23}">
    <text xml:space="preserve">Costo del producto en base a la unidad de recetas. </text>
  </threadedComment>
  <threadedComment ref="N1" dT="2025-02-23T17:32:23.21" personId="{00000000-0000-0000-0000-000000000000}" id="{8C623497-F594-4A27-9101-CCA0ABB9284E}">
    <text>Presentacion en el que el proveedor entrega el producto. Se debe considerar que el sistema permite asignar diferentes presentaciones de compra o múltiples proveedores para un mismo producto.</text>
  </threadedComment>
  <threadedComment ref="O1" dT="2025-02-23T17:33:58.17" personId="{00000000-0000-0000-0000-000000000000}" id="{33E9EA27-80E2-455C-95E4-8EF0A67541A0}">
    <text>Costo del producto según el proveedor.</text>
  </threadedComment>
  <threadedComment ref="AC1" dT="2025-02-23T17:34:25.09" personId="{00000000-0000-0000-0000-000000000000}" id="{F9034880-5974-4B16-AED3-995911B0475B}">
    <text>Unidad en la que se gestiona el inventario del ingrediente (ejemplo: pieza, caja, kg)</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2-23T17:18:40.47" personId="{00000000-0000-0000-0000-000000000000}" id="{49A2EA3F-2D15-1C44-85E1-3B0DDF29B949}">
    <text>Código del producto. Puede ser ingresado manualmente o dejarse en blanco para que el sistema asigne uno automáticamente.</text>
  </threadedComment>
  <threadedComment ref="B1" dT="2025-02-23T17:18:58.85" personId="{00000000-0000-0000-0000-000000000000}" id="{BA4572B2-20B3-654D-955C-C89E7D921A44}">
    <text>Nombre del ingrediente.</text>
  </threadedComment>
  <threadedComment ref="C1" dT="2025-02-23T17:21:23.21" personId="{00000000-0000-0000-0000-000000000000}" id="{3F6D4BD2-0595-AD4B-8B75-B842303537CF}">
    <text>Código de la familia o departamento al que pertenece el producto. No es obligatorio y, si se deja en blanco, el sistema asignará la familia por defecto.</text>
  </threadedComment>
  <threadedComment ref="E1" dT="2025-02-23T17:29:16.73" personId="{00000000-0000-0000-0000-000000000000}" id="{C5BB3A35-A4BD-0748-96A7-0019F4450B4D}">
    <text>Código de la unidad de medida del producto el cual manejan sus recetas (ejemplo: gr, oz, unidad).</text>
  </threadedComment>
  <threadedComment ref="H1" dT="2025-02-23T17:30:00.12" personId="{00000000-0000-0000-0000-000000000000}" id="{2BFCBF9F-5C0B-FF4A-A735-BFCD48700333}">
    <text xml:space="preserve">Costo del producto en base a la unidad de recetas. </text>
  </threadedComment>
  <threadedComment ref="N1" dT="2025-02-23T17:32:23.21" personId="{00000000-0000-0000-0000-000000000000}" id="{B1C02F5D-1A4F-6B4C-93CD-F61B4F5A9B82}">
    <text>Presentacion en el que el proveedor entrega el producto. Se debe considerar que el sistema permite asignar diferentes presentaciones de compra o múltiples proveedores para un mismo producto.</text>
  </threadedComment>
  <threadedComment ref="O1" dT="2025-02-23T17:33:58.17" personId="{00000000-0000-0000-0000-000000000000}" id="{2A36115F-585F-BF43-BDBC-7DA072E6CAF5}">
    <text>Costo del producto según el proveedor.</text>
  </threadedComment>
  <threadedComment ref="AC1" dT="2025-02-23T17:34:25.09" personId="{00000000-0000-0000-0000-000000000000}" id="{8536964F-201E-BD4D-B0BD-808420F68A51}">
    <text>Unidad en la que se gestiona el inventario del ingrediente (ejemplo: pieza, caja, kg)</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5-02-23T20:02:17.61" personId="{00000000-0000-0000-0000-000000000000}" id="{1CF9F00E-D5B4-6148-8490-7E656103559E}">
    <text>Código del Items. Puede ingresarse manualmente o dejarse en blanco para que el sistema asigne uno automáticamente.</text>
  </threadedComment>
  <threadedComment ref="B1" dT="2025-02-23T20:02:50.46" personId="{00000000-0000-0000-0000-000000000000}" id="{BAB2EAD8-54C4-7442-A2F2-3054734B9D59}">
    <text>Nombre del items o producto de venta.</text>
  </threadedComment>
  <threadedComment ref="D1" dT="2025-02-23T20:07:09.78" personId="{00000000-0000-0000-0000-000000000000}" id="{72E65A81-6C6C-9C46-A1F7-BC2D0F9035A6}">
    <text>Precio de venta del items. Puede configurarse como precio base (sin impuestos) o con impuestos incluidos, según lo requerido el cliente.</text>
  </threadedComment>
  <threadedComment ref="G1" dT="2025-02-23T20:19:07.12" personId="{00000000-0000-0000-0000-000000000000}" id="{E66C6446-AE15-D542-8E95-FCFC86145607}">
    <text>Código de Subcategoría: Añadir la clasificación más detallada del producto dentro de la categoría. Es especialmente útil en el iPad, ya que define el segundo nivel de organización de los ítems de venta, facilitando la navegación y selección de productos.</text>
  </threadedComment>
  <threadedComment ref="H1" dT="2025-02-23T20:21:16.88" personId="{00000000-0000-0000-0000-000000000000}" id="{007DBF76-66BA-8D4F-A2DF-C7E6ED42C1A3}">
    <text>Es el primer nivel o clasificación principal de los ítems de venta en el iPad. Permite organizar los productos de forma eficiente para una navegación rápida en el sistema. Se recomienda su uso para facilitar búsquedas y reportes.</text>
  </threadedComment>
  <threadedComment ref="I1" dT="2025-02-23T20:23:34.60" personId="{00000000-0000-0000-0000-000000000000}" id="{0A86368E-0E7E-4548-9CA7-12B27D66F559}">
    <text>Debe asociarse únicamente el número de impuesto correspondiente. Este campo se utiliza para calcular el impuesto sobre la base del precio del items. En caso de no manejar este caso dejarlo vacío.</text>
  </threadedComment>
  <threadedComment ref="P1" dT="2025-02-23T20:24:18.81" personId="{00000000-0000-0000-0000-000000000000}" id="{01B89295-48B7-8A42-A5AE-F29C6C3C63E8}">
    <text>Información adicional relevante del items.</text>
  </threadedComment>
  <threadedComment ref="W1" dT="2025-02-23T20:29:21.49" personId="{00000000-0000-0000-0000-000000000000}" id="{01E504DD-5A85-BD4D-942A-55BE81ED124D}">
    <text>Debe asociarse únicamente el número de impuesto correspondiente. Esta columna se utiliza en caso de que se requiera incluir el impuesto en la columna de Precio de Venta (Columna D). En caso de no manejar impuesto incluido dejar la columna vacía.</text>
  </threadedComment>
</ThreadedComments>
</file>

<file path=xl/threadedComments/threadedComment4.xml><?xml version="1.0" encoding="utf-8"?>
<ThreadedComments xmlns="http://schemas.microsoft.com/office/spreadsheetml/2018/threadedcomments" xmlns:x="http://schemas.openxmlformats.org/spreadsheetml/2006/main">
  <threadedComment ref="A2" dT="2025-02-23T21:22:33.30" personId="{00000000-0000-0000-0000-000000000000}" id="{8EEBEAA3-02C2-7644-9915-C06E343CE9C9}">
    <text>Código de la producción. Puede ser ingresado manualmente o dejarse en blanco para que el sistema asigne uno automáticamente.</text>
  </threadedComment>
  <threadedComment ref="B2" dT="2025-02-23T20:57:53.94" personId="{00000000-0000-0000-0000-000000000000}" id="{AFDACAD2-5EBB-0E44-A7AA-5BD96FD08C73}">
    <text>Añadir el nombre del proceso mediante el cual se transforman insumos o materias primas en produccion.</text>
  </threadedComment>
  <threadedComment ref="C2" dT="2025-02-23T20:58:37.19" personId="{00000000-0000-0000-0000-000000000000}" id="{E8B7D7F7-D960-644B-9004-E84F01569849}">
    <text>Cantidad o receta Basica de la Produccion.</text>
  </threadedComment>
  <threadedComment ref="D2" dT="2025-02-23T20:59:25.80" personId="{00000000-0000-0000-0000-000000000000}" id="{6302420F-BA77-C247-8D65-E70E8D41E1E6}">
    <text>Unidad de medida de la produccion.</text>
  </threadedComment>
  <threadedComment ref="F2" dT="2025-02-23T21:00:41.11" personId="{00000000-0000-0000-0000-000000000000}" id="{E0EB9314-F2BE-A142-8A5A-DAF9752D26F5}">
    <text>Ingrediente , insumos o materias primas</text>
  </threadedComment>
  <threadedComment ref="G2" dT="2025-02-23T21:02:14.48" personId="{00000000-0000-0000-0000-000000000000}" id="{D2FF7A24-E174-CA48-85F1-FDD748E77DA0}">
    <text>Cantidad de los ingredientes.</text>
  </threadedComment>
  <threadedComment ref="H2" dT="2025-02-23T21:01:46.34" personId="{00000000-0000-0000-0000-000000000000}" id="{AB20F211-F656-0543-9B70-B9D0769AD9CC}">
    <text>Unidad de medida de los ingredientes.</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5-02-23T21:11:58.80" personId="{00000000-0000-0000-0000-000000000000}" id="{A62360DD-1C33-A342-9FCC-B590A631BF9E}">
    <text>Nombre del items o producto de venta.</text>
  </threadedComment>
  <threadedComment ref="D1" dT="2025-02-23T21:12:37.35" personId="{00000000-0000-0000-0000-000000000000}" id="{B133817C-F14D-EB47-ADAC-5712C140C614}">
    <text>Nombre del ingrediente o nombre del proceso mediante el cual se transforman insumos o materias primas en produccion.</text>
  </threadedComment>
  <threadedComment ref="E1" dT="2025-02-23T21:14:14.93" personId="{00000000-0000-0000-0000-000000000000}" id="{F7357EE5-7345-E747-B714-F4D8E13FE93C}">
    <text>Cantidad de los ingredientes o producciones</text>
  </threadedComment>
  <threadedComment ref="F1" dT="2025-02-23T21:14:43.68" personId="{00000000-0000-0000-0000-000000000000}" id="{16B87C93-E814-594B-9C5B-2D3F39E67941}">
    <text>Unidad de medida de los ingredientes o producciones.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8" Type="http://schemas.openxmlformats.org/officeDocument/2006/relationships/hyperlink" Target="https://admindev.invupos.com/item_subcategories/10" TargetMode="External"/><Relationship Id="rId3" Type="http://schemas.openxmlformats.org/officeDocument/2006/relationships/hyperlink" Target="https://admindev.invupos.com/item_subcategories/26" TargetMode="External"/><Relationship Id="rId7" Type="http://schemas.openxmlformats.org/officeDocument/2006/relationships/hyperlink" Target="https://admindev.invupos.com/item_subcategories/10" TargetMode="External"/><Relationship Id="rId2" Type="http://schemas.openxmlformats.org/officeDocument/2006/relationships/hyperlink" Target="https://admindev.invupos.com/item_subcategories/26" TargetMode="External"/><Relationship Id="rId1" Type="http://schemas.openxmlformats.org/officeDocument/2006/relationships/hyperlink" Target="https://admindev.invupos.com/item_subcategories/26" TargetMode="External"/><Relationship Id="rId6" Type="http://schemas.openxmlformats.org/officeDocument/2006/relationships/hyperlink" Target="https://admindev.invupos.com/item_subcategories/10" TargetMode="External"/><Relationship Id="rId11" Type="http://schemas.microsoft.com/office/2017/10/relationships/threadedComment" Target="../threadedComments/threadedComment3.xml"/><Relationship Id="rId5" Type="http://schemas.openxmlformats.org/officeDocument/2006/relationships/hyperlink" Target="https://admindev.invupos.com/item_subcategories/26" TargetMode="External"/><Relationship Id="rId10" Type="http://schemas.openxmlformats.org/officeDocument/2006/relationships/comments" Target="../comments3.xml"/><Relationship Id="rId4" Type="http://schemas.openxmlformats.org/officeDocument/2006/relationships/hyperlink" Target="https://admindev.invupos.com/item_subcategories/26" TargetMode="External"/><Relationship Id="rId9"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27BA5-A189-4320-BAC8-AE72598ADC12}">
  <dimension ref="A1:AE106"/>
  <sheetViews>
    <sheetView topLeftCell="A91" workbookViewId="0">
      <selection activeCell="B104" sqref="B104"/>
    </sheetView>
  </sheetViews>
  <sheetFormatPr baseColWidth="10" defaultColWidth="9.109375" defaultRowHeight="14.4" x14ac:dyDescent="0.3"/>
  <cols>
    <col min="2" max="2" width="33.21875" customWidth="1"/>
    <col min="3" max="3" width="20.33203125" style="14" bestFit="1" customWidth="1"/>
    <col min="4" max="4" width="10.44140625" customWidth="1"/>
    <col min="5" max="5" width="9.109375" style="14"/>
    <col min="6" max="7" width="0" hidden="1" customWidth="1"/>
    <col min="8" max="8" width="9.44140625" style="6" bestFit="1" customWidth="1"/>
    <col min="9" max="10" width="0" hidden="1" customWidth="1"/>
    <col min="11" max="11" width="4.109375" hidden="1" customWidth="1"/>
    <col min="12" max="12" width="1.77734375" customWidth="1"/>
    <col min="13" max="13" width="9.6640625" bestFit="1" customWidth="1"/>
    <col min="14" max="14" width="19.33203125" customWidth="1"/>
    <col min="15" max="15" width="13.6640625" style="6" customWidth="1"/>
    <col min="16" max="16" width="11.77734375" style="14" customWidth="1"/>
    <col min="17" max="17" width="10.6640625" hidden="1" customWidth="1"/>
    <col min="18" max="18" width="10.33203125" hidden="1" customWidth="1"/>
    <col min="19" max="19" width="10.44140625" hidden="1" customWidth="1"/>
    <col min="20" max="21" width="0" hidden="1" customWidth="1"/>
    <col min="22" max="22" width="10.6640625" hidden="1" customWidth="1"/>
    <col min="23" max="23" width="0" hidden="1" customWidth="1"/>
    <col min="24" max="24" width="12.44140625" hidden="1" customWidth="1"/>
    <col min="25" max="25" width="0" hidden="1" customWidth="1"/>
    <col min="26" max="26" width="15.33203125" hidden="1" customWidth="1"/>
    <col min="27" max="27" width="12.44140625" hidden="1" customWidth="1"/>
    <col min="28" max="28" width="11.109375" hidden="1" customWidth="1"/>
    <col min="29" max="29" width="11.109375" style="14" customWidth="1"/>
    <col min="31" max="31" width="19.44140625" customWidth="1"/>
  </cols>
  <sheetData>
    <row r="1" spans="1:31" s="4" customFormat="1" ht="72" x14ac:dyDescent="0.3">
      <c r="A1" s="1" t="s">
        <v>0</v>
      </c>
      <c r="B1" s="1" t="s">
        <v>1</v>
      </c>
      <c r="C1" s="1" t="s">
        <v>2</v>
      </c>
      <c r="D1" s="1" t="s">
        <v>3</v>
      </c>
      <c r="E1" s="1" t="s">
        <v>4</v>
      </c>
      <c r="F1" s="2" t="s">
        <v>5</v>
      </c>
      <c r="G1" s="2" t="s">
        <v>6</v>
      </c>
      <c r="H1" s="5" t="s">
        <v>7</v>
      </c>
      <c r="I1" s="2" t="s">
        <v>8</v>
      </c>
      <c r="J1" s="2" t="s">
        <v>9</v>
      </c>
      <c r="K1" s="2" t="s">
        <v>10</v>
      </c>
      <c r="L1" s="2" t="s">
        <v>11</v>
      </c>
      <c r="M1" s="1" t="s">
        <v>12</v>
      </c>
      <c r="N1" s="2" t="s">
        <v>30</v>
      </c>
      <c r="O1" s="7" t="s">
        <v>31</v>
      </c>
      <c r="P1" s="1" t="s">
        <v>13</v>
      </c>
      <c r="Q1" s="2" t="s">
        <v>14</v>
      </c>
      <c r="R1" s="2" t="s">
        <v>15</v>
      </c>
      <c r="S1" s="3" t="s">
        <v>16</v>
      </c>
      <c r="T1" s="2" t="s">
        <v>17</v>
      </c>
      <c r="U1" s="2" t="s">
        <v>18</v>
      </c>
      <c r="V1" s="2" t="s">
        <v>19</v>
      </c>
      <c r="W1" s="2" t="s">
        <v>20</v>
      </c>
      <c r="X1" s="2" t="s">
        <v>21</v>
      </c>
      <c r="Y1" s="2" t="s">
        <v>22</v>
      </c>
      <c r="Z1" s="2" t="s">
        <v>23</v>
      </c>
      <c r="AA1" s="2" t="s">
        <v>24</v>
      </c>
      <c r="AB1" s="4" t="s">
        <v>25</v>
      </c>
      <c r="AC1" s="4" t="s">
        <v>26</v>
      </c>
      <c r="AE1" s="4" t="s">
        <v>684</v>
      </c>
    </row>
    <row r="2" spans="1:31" x14ac:dyDescent="0.3">
      <c r="A2" t="s">
        <v>275</v>
      </c>
      <c r="B2" t="s">
        <v>191</v>
      </c>
      <c r="C2" s="14" t="s">
        <v>303</v>
      </c>
      <c r="D2" s="6"/>
      <c r="E2" s="14" t="s">
        <v>40</v>
      </c>
      <c r="H2" s="6">
        <v>1580</v>
      </c>
      <c r="M2" t="s">
        <v>29</v>
      </c>
      <c r="N2" s="14" t="s">
        <v>40</v>
      </c>
      <c r="O2" s="6">
        <v>12000</v>
      </c>
      <c r="AC2" s="14" t="s">
        <v>40</v>
      </c>
      <c r="AD2" t="s">
        <v>629</v>
      </c>
      <c r="AE2" t="s">
        <v>685</v>
      </c>
    </row>
    <row r="3" spans="1:31" x14ac:dyDescent="0.3">
      <c r="A3" t="s">
        <v>276</v>
      </c>
      <c r="B3" t="s">
        <v>192</v>
      </c>
      <c r="C3" s="14" t="s">
        <v>303</v>
      </c>
      <c r="D3" s="6"/>
      <c r="E3" s="14" t="s">
        <v>40</v>
      </c>
      <c r="H3" s="6">
        <v>1382</v>
      </c>
      <c r="M3" t="s">
        <v>29</v>
      </c>
      <c r="N3" s="14" t="s">
        <v>40</v>
      </c>
      <c r="O3" s="6">
        <v>8000</v>
      </c>
      <c r="P3" s="14" t="s">
        <v>28</v>
      </c>
      <c r="AC3" s="14" t="s">
        <v>40</v>
      </c>
      <c r="AD3" t="s">
        <v>630</v>
      </c>
      <c r="AE3" t="s">
        <v>685</v>
      </c>
    </row>
    <row r="4" spans="1:31" x14ac:dyDescent="0.3">
      <c r="A4" t="s">
        <v>277</v>
      </c>
      <c r="B4" t="s">
        <v>193</v>
      </c>
      <c r="C4" s="14" t="s">
        <v>303</v>
      </c>
      <c r="D4" s="6"/>
      <c r="E4" s="14" t="s">
        <v>40</v>
      </c>
      <c r="H4" s="6">
        <v>750</v>
      </c>
      <c r="M4" t="s">
        <v>29</v>
      </c>
      <c r="N4" s="14" t="s">
        <v>40</v>
      </c>
      <c r="O4" s="6">
        <v>20000</v>
      </c>
      <c r="P4" s="14" t="s">
        <v>274</v>
      </c>
      <c r="AC4" s="14" t="s">
        <v>40</v>
      </c>
      <c r="AE4" t="s">
        <v>685</v>
      </c>
    </row>
    <row r="5" spans="1:31" x14ac:dyDescent="0.3">
      <c r="A5" t="s">
        <v>278</v>
      </c>
      <c r="B5" t="s">
        <v>194</v>
      </c>
      <c r="C5" s="14" t="s">
        <v>301</v>
      </c>
      <c r="D5" s="6"/>
      <c r="E5" s="14" t="s">
        <v>40</v>
      </c>
      <c r="H5" s="6">
        <v>400</v>
      </c>
      <c r="M5" t="s">
        <v>29</v>
      </c>
      <c r="N5" s="14" t="s">
        <v>40</v>
      </c>
      <c r="O5" s="6">
        <v>25000</v>
      </c>
      <c r="P5" s="14" t="s">
        <v>28</v>
      </c>
      <c r="AC5" s="14" t="s">
        <v>40</v>
      </c>
      <c r="AE5" t="s">
        <v>685</v>
      </c>
    </row>
    <row r="6" spans="1:31" x14ac:dyDescent="0.3">
      <c r="A6" t="s">
        <v>279</v>
      </c>
      <c r="B6" t="s">
        <v>195</v>
      </c>
      <c r="C6" s="14" t="s">
        <v>301</v>
      </c>
      <c r="D6" s="6"/>
      <c r="E6" s="14" t="s">
        <v>40</v>
      </c>
      <c r="H6" s="6">
        <v>1580</v>
      </c>
      <c r="M6" t="s">
        <v>29</v>
      </c>
      <c r="N6" s="14" t="s">
        <v>40</v>
      </c>
      <c r="O6" s="6">
        <v>18500</v>
      </c>
      <c r="P6" s="14" t="s">
        <v>28</v>
      </c>
      <c r="AC6" s="14" t="s">
        <v>40</v>
      </c>
      <c r="AE6" t="s">
        <v>685</v>
      </c>
    </row>
    <row r="7" spans="1:31" x14ac:dyDescent="0.3">
      <c r="A7" t="s">
        <v>280</v>
      </c>
      <c r="B7" t="s">
        <v>196</v>
      </c>
      <c r="C7" s="14" t="s">
        <v>301</v>
      </c>
      <c r="D7" s="6"/>
      <c r="E7" s="14" t="s">
        <v>40</v>
      </c>
      <c r="H7" s="6">
        <v>1580</v>
      </c>
      <c r="M7" t="s">
        <v>29</v>
      </c>
      <c r="N7" s="14" t="s">
        <v>40</v>
      </c>
      <c r="O7" s="6">
        <v>12000</v>
      </c>
      <c r="P7" s="14" t="s">
        <v>28</v>
      </c>
      <c r="AC7" s="14" t="s">
        <v>40</v>
      </c>
      <c r="AE7" t="s">
        <v>685</v>
      </c>
    </row>
    <row r="8" spans="1:31" x14ac:dyDescent="0.3">
      <c r="A8" t="s">
        <v>281</v>
      </c>
      <c r="B8" t="s">
        <v>197</v>
      </c>
      <c r="C8" s="14" t="s">
        <v>301</v>
      </c>
      <c r="D8" s="6"/>
      <c r="E8" s="14" t="s">
        <v>40</v>
      </c>
      <c r="H8" s="6">
        <v>104000</v>
      </c>
      <c r="M8" t="s">
        <v>29</v>
      </c>
      <c r="N8" s="14" t="s">
        <v>40</v>
      </c>
      <c r="O8" s="6">
        <v>12000</v>
      </c>
      <c r="P8" s="14" t="s">
        <v>28</v>
      </c>
      <c r="AC8" s="14" t="s">
        <v>40</v>
      </c>
      <c r="AE8" t="s">
        <v>685</v>
      </c>
    </row>
    <row r="9" spans="1:31" x14ac:dyDescent="0.3">
      <c r="A9" t="s">
        <v>282</v>
      </c>
      <c r="B9" t="s">
        <v>198</v>
      </c>
      <c r="C9" s="14" t="s">
        <v>301</v>
      </c>
      <c r="D9" s="6"/>
      <c r="E9" s="14" t="s">
        <v>40</v>
      </c>
      <c r="H9" s="6">
        <v>1580</v>
      </c>
      <c r="M9" t="s">
        <v>29</v>
      </c>
      <c r="N9" s="14" t="s">
        <v>40</v>
      </c>
      <c r="O9" s="6">
        <v>50000</v>
      </c>
      <c r="P9" s="14" t="s">
        <v>28</v>
      </c>
      <c r="AC9" s="14" t="s">
        <v>40</v>
      </c>
      <c r="AE9" t="s">
        <v>685</v>
      </c>
    </row>
    <row r="10" spans="1:31" x14ac:dyDescent="0.3">
      <c r="A10" t="s">
        <v>283</v>
      </c>
      <c r="B10" t="s">
        <v>199</v>
      </c>
      <c r="C10" s="14" t="s">
        <v>301</v>
      </c>
      <c r="D10" s="6"/>
      <c r="E10" s="14" t="s">
        <v>40</v>
      </c>
      <c r="H10" s="6">
        <v>1580</v>
      </c>
      <c r="M10" t="s">
        <v>29</v>
      </c>
      <c r="N10" s="14" t="s">
        <v>40</v>
      </c>
      <c r="O10" s="6">
        <v>50000</v>
      </c>
      <c r="P10" s="14" t="s">
        <v>28</v>
      </c>
      <c r="AC10" s="14" t="s">
        <v>40</v>
      </c>
      <c r="AE10" t="s">
        <v>685</v>
      </c>
    </row>
    <row r="11" spans="1:31" x14ac:dyDescent="0.3">
      <c r="A11" t="s">
        <v>296</v>
      </c>
      <c r="B11" s="20" t="s">
        <v>476</v>
      </c>
      <c r="C11" s="14" t="s">
        <v>486</v>
      </c>
      <c r="E11" s="14" t="s">
        <v>40</v>
      </c>
      <c r="H11">
        <v>645</v>
      </c>
      <c r="M11" t="s">
        <v>29</v>
      </c>
      <c r="N11" s="14" t="s">
        <v>40</v>
      </c>
      <c r="O11" s="6">
        <v>12000</v>
      </c>
      <c r="P11" s="14" t="s">
        <v>28</v>
      </c>
      <c r="AC11" s="14" t="s">
        <v>40</v>
      </c>
      <c r="AE11" t="s">
        <v>686</v>
      </c>
    </row>
    <row r="12" spans="1:31" x14ac:dyDescent="0.3">
      <c r="A12" t="s">
        <v>297</v>
      </c>
      <c r="B12" s="20" t="s">
        <v>478</v>
      </c>
      <c r="C12" s="14" t="s">
        <v>486</v>
      </c>
      <c r="E12" s="14" t="s">
        <v>40</v>
      </c>
      <c r="H12">
        <v>300</v>
      </c>
      <c r="M12" t="s">
        <v>29</v>
      </c>
      <c r="N12" s="14" t="s">
        <v>40</v>
      </c>
      <c r="O12" s="6">
        <v>2000</v>
      </c>
      <c r="P12" s="14" t="s">
        <v>28</v>
      </c>
      <c r="AC12" s="14" t="s">
        <v>40</v>
      </c>
      <c r="AE12" t="s">
        <v>688</v>
      </c>
    </row>
    <row r="13" spans="1:31" x14ac:dyDescent="0.3">
      <c r="A13" t="s">
        <v>298</v>
      </c>
      <c r="B13" t="s">
        <v>477</v>
      </c>
      <c r="C13" s="14" t="s">
        <v>487</v>
      </c>
      <c r="E13" s="14" t="s">
        <v>216</v>
      </c>
      <c r="H13">
        <v>22.6</v>
      </c>
      <c r="M13" t="s">
        <v>29</v>
      </c>
      <c r="N13" s="14" t="s">
        <v>216</v>
      </c>
      <c r="O13" s="6">
        <v>1000</v>
      </c>
      <c r="P13" s="14" t="s">
        <v>28</v>
      </c>
      <c r="AC13" s="14" t="s">
        <v>216</v>
      </c>
      <c r="AE13" t="s">
        <v>689</v>
      </c>
    </row>
    <row r="14" spans="1:31" x14ac:dyDescent="0.3">
      <c r="A14" t="s">
        <v>420</v>
      </c>
      <c r="B14" s="22" t="s">
        <v>479</v>
      </c>
      <c r="C14" s="14" t="s">
        <v>486</v>
      </c>
      <c r="E14" s="14" t="s">
        <v>40</v>
      </c>
      <c r="H14">
        <v>642</v>
      </c>
      <c r="M14" t="s">
        <v>29</v>
      </c>
      <c r="N14" s="14" t="s">
        <v>40</v>
      </c>
      <c r="AC14" s="14" t="s">
        <v>40</v>
      </c>
      <c r="AE14" t="s">
        <v>689</v>
      </c>
    </row>
    <row r="15" spans="1:31" x14ac:dyDescent="0.3">
      <c r="A15" t="s">
        <v>421</v>
      </c>
      <c r="B15" s="22" t="s">
        <v>480</v>
      </c>
      <c r="C15" s="14" t="s">
        <v>486</v>
      </c>
      <c r="E15" s="14" t="s">
        <v>40</v>
      </c>
      <c r="H15">
        <v>900</v>
      </c>
      <c r="M15" t="s">
        <v>29</v>
      </c>
      <c r="N15" s="14" t="s">
        <v>40</v>
      </c>
      <c r="AC15" s="14" t="s">
        <v>40</v>
      </c>
      <c r="AE15" t="s">
        <v>689</v>
      </c>
    </row>
    <row r="16" spans="1:31" x14ac:dyDescent="0.3">
      <c r="A16" t="s">
        <v>422</v>
      </c>
      <c r="B16" s="20" t="s">
        <v>608</v>
      </c>
      <c r="C16" s="14" t="s">
        <v>486</v>
      </c>
      <c r="E16" s="14" t="s">
        <v>40</v>
      </c>
      <c r="H16">
        <v>350</v>
      </c>
      <c r="M16" t="s">
        <v>29</v>
      </c>
      <c r="N16" s="14" t="s">
        <v>40</v>
      </c>
      <c r="AC16" s="14" t="s">
        <v>40</v>
      </c>
      <c r="AE16" t="s">
        <v>689</v>
      </c>
    </row>
    <row r="17" spans="1:31" x14ac:dyDescent="0.3">
      <c r="A17" t="s">
        <v>423</v>
      </c>
      <c r="B17" t="s">
        <v>481</v>
      </c>
      <c r="C17" s="14" t="s">
        <v>300</v>
      </c>
      <c r="E17" s="14" t="s">
        <v>216</v>
      </c>
      <c r="H17">
        <v>6</v>
      </c>
      <c r="M17" t="s">
        <v>29</v>
      </c>
      <c r="N17" s="14" t="s">
        <v>216</v>
      </c>
      <c r="AC17" s="14" t="s">
        <v>216</v>
      </c>
      <c r="AE17" t="s">
        <v>688</v>
      </c>
    </row>
    <row r="18" spans="1:31" x14ac:dyDescent="0.3">
      <c r="A18" t="s">
        <v>424</v>
      </c>
      <c r="B18" t="s">
        <v>482</v>
      </c>
      <c r="C18" s="14" t="s">
        <v>300</v>
      </c>
      <c r="E18" s="14" t="s">
        <v>216</v>
      </c>
      <c r="H18">
        <v>8.5</v>
      </c>
      <c r="M18" t="s">
        <v>29</v>
      </c>
      <c r="N18" s="14" t="s">
        <v>216</v>
      </c>
      <c r="AC18" s="14" t="s">
        <v>216</v>
      </c>
      <c r="AE18" t="s">
        <v>690</v>
      </c>
    </row>
    <row r="19" spans="1:31" x14ac:dyDescent="0.3">
      <c r="A19" t="s">
        <v>425</v>
      </c>
      <c r="B19" t="s">
        <v>483</v>
      </c>
      <c r="C19" s="14" t="s">
        <v>300</v>
      </c>
      <c r="E19" s="14" t="s">
        <v>216</v>
      </c>
      <c r="H19">
        <v>5</v>
      </c>
      <c r="M19" t="s">
        <v>29</v>
      </c>
      <c r="N19" s="14" t="s">
        <v>216</v>
      </c>
      <c r="AC19" s="14" t="s">
        <v>216</v>
      </c>
      <c r="AE19" t="s">
        <v>690</v>
      </c>
    </row>
    <row r="20" spans="1:31" x14ac:dyDescent="0.3">
      <c r="A20" t="s">
        <v>426</v>
      </c>
      <c r="B20" t="s">
        <v>484</v>
      </c>
      <c r="C20" s="14" t="s">
        <v>300</v>
      </c>
      <c r="E20" s="14" t="s">
        <v>216</v>
      </c>
      <c r="H20">
        <v>10</v>
      </c>
      <c r="M20" t="s">
        <v>29</v>
      </c>
      <c r="N20" s="14" t="s">
        <v>216</v>
      </c>
      <c r="AC20" s="14" t="s">
        <v>216</v>
      </c>
      <c r="AE20" t="s">
        <v>687</v>
      </c>
    </row>
    <row r="21" spans="1:31" x14ac:dyDescent="0.3">
      <c r="A21" t="s">
        <v>427</v>
      </c>
      <c r="B21" t="s">
        <v>339</v>
      </c>
      <c r="C21" s="14" t="s">
        <v>300</v>
      </c>
      <c r="E21" s="14" t="s">
        <v>216</v>
      </c>
      <c r="H21">
        <v>6</v>
      </c>
      <c r="M21" t="s">
        <v>29</v>
      </c>
      <c r="N21" s="14" t="s">
        <v>216</v>
      </c>
      <c r="AC21" s="14" t="s">
        <v>216</v>
      </c>
      <c r="AE21" t="s">
        <v>687</v>
      </c>
    </row>
    <row r="22" spans="1:31" x14ac:dyDescent="0.3">
      <c r="A22" t="s">
        <v>428</v>
      </c>
      <c r="B22" t="s">
        <v>485</v>
      </c>
      <c r="C22" s="14" t="s">
        <v>300</v>
      </c>
      <c r="E22" s="14" t="s">
        <v>216</v>
      </c>
      <c r="H22">
        <v>10</v>
      </c>
      <c r="M22" t="s">
        <v>29</v>
      </c>
      <c r="N22" s="14" t="s">
        <v>216</v>
      </c>
      <c r="AC22" s="14" t="s">
        <v>216</v>
      </c>
      <c r="AE22" t="s">
        <v>691</v>
      </c>
    </row>
    <row r="23" spans="1:31" x14ac:dyDescent="0.3">
      <c r="A23" t="s">
        <v>429</v>
      </c>
      <c r="B23" t="s">
        <v>488</v>
      </c>
      <c r="C23" s="14" t="s">
        <v>299</v>
      </c>
      <c r="D23" s="19"/>
      <c r="E23" s="14" t="s">
        <v>217</v>
      </c>
      <c r="H23" s="19">
        <v>130</v>
      </c>
      <c r="M23" t="s">
        <v>29</v>
      </c>
      <c r="N23" s="14" t="s">
        <v>217</v>
      </c>
      <c r="AC23" s="14" t="s">
        <v>217</v>
      </c>
      <c r="AE23" t="s">
        <v>688</v>
      </c>
    </row>
    <row r="24" spans="1:31" x14ac:dyDescent="0.3">
      <c r="A24" t="s">
        <v>430</v>
      </c>
      <c r="B24" t="s">
        <v>489</v>
      </c>
      <c r="C24" s="14" t="s">
        <v>299</v>
      </c>
      <c r="D24" s="19"/>
      <c r="E24" s="14" t="s">
        <v>217</v>
      </c>
      <c r="H24" s="19">
        <v>40.677966099999999</v>
      </c>
      <c r="M24" t="s">
        <v>29</v>
      </c>
      <c r="N24" s="14" t="s">
        <v>217</v>
      </c>
      <c r="AC24" s="14" t="s">
        <v>217</v>
      </c>
      <c r="AE24" t="s">
        <v>688</v>
      </c>
    </row>
    <row r="25" spans="1:31" x14ac:dyDescent="0.3">
      <c r="A25" t="s">
        <v>431</v>
      </c>
      <c r="B25" t="s">
        <v>490</v>
      </c>
      <c r="C25" s="14" t="s">
        <v>299</v>
      </c>
      <c r="D25" s="19"/>
      <c r="E25" s="14" t="s">
        <v>216</v>
      </c>
      <c r="H25" s="19">
        <v>48.6</v>
      </c>
      <c r="M25" t="s">
        <v>29</v>
      </c>
      <c r="N25" s="14" t="s">
        <v>216</v>
      </c>
      <c r="AC25" s="14" t="s">
        <v>216</v>
      </c>
      <c r="AE25" t="s">
        <v>688</v>
      </c>
    </row>
    <row r="26" spans="1:31" x14ac:dyDescent="0.3">
      <c r="A26" t="s">
        <v>432</v>
      </c>
      <c r="B26" s="21" t="s">
        <v>491</v>
      </c>
      <c r="C26" s="14" t="s">
        <v>549</v>
      </c>
      <c r="E26" s="14" t="s">
        <v>40</v>
      </c>
      <c r="H26">
        <v>3250</v>
      </c>
      <c r="M26" t="s">
        <v>29</v>
      </c>
      <c r="N26" s="14" t="s">
        <v>40</v>
      </c>
      <c r="AC26" s="14" t="s">
        <v>40</v>
      </c>
      <c r="AE26" t="s">
        <v>693</v>
      </c>
    </row>
    <row r="27" spans="1:31" x14ac:dyDescent="0.3">
      <c r="A27" t="s">
        <v>433</v>
      </c>
      <c r="B27" s="23" t="s">
        <v>492</v>
      </c>
      <c r="C27" s="14" t="s">
        <v>299</v>
      </c>
      <c r="E27" s="14" t="s">
        <v>40</v>
      </c>
      <c r="H27">
        <v>1200</v>
      </c>
      <c r="M27" t="s">
        <v>29</v>
      </c>
      <c r="N27" s="14" t="s">
        <v>40</v>
      </c>
      <c r="AC27" s="14" t="s">
        <v>40</v>
      </c>
      <c r="AE27" t="s">
        <v>692</v>
      </c>
    </row>
    <row r="28" spans="1:31" x14ac:dyDescent="0.3">
      <c r="A28" t="s">
        <v>434</v>
      </c>
      <c r="B28" s="21" t="s">
        <v>493</v>
      </c>
      <c r="C28" s="14" t="s">
        <v>549</v>
      </c>
      <c r="E28" s="14" t="s">
        <v>40</v>
      </c>
      <c r="H28">
        <v>1200</v>
      </c>
      <c r="M28" t="s">
        <v>29</v>
      </c>
      <c r="N28" s="14" t="s">
        <v>40</v>
      </c>
      <c r="AC28" s="14" t="s">
        <v>40</v>
      </c>
    </row>
    <row r="29" spans="1:31" x14ac:dyDescent="0.3">
      <c r="A29" t="s">
        <v>435</v>
      </c>
      <c r="B29" s="21" t="s">
        <v>494</v>
      </c>
      <c r="C29" s="14" t="s">
        <v>549</v>
      </c>
      <c r="E29" s="14" t="s">
        <v>40</v>
      </c>
      <c r="H29">
        <v>2820</v>
      </c>
      <c r="M29" t="s">
        <v>29</v>
      </c>
      <c r="N29" s="14" t="s">
        <v>40</v>
      </c>
      <c r="AC29" s="14" t="s">
        <v>40</v>
      </c>
    </row>
    <row r="30" spans="1:31" x14ac:dyDescent="0.3">
      <c r="A30" t="s">
        <v>436</v>
      </c>
      <c r="B30" s="21" t="s">
        <v>495</v>
      </c>
      <c r="C30" s="14" t="s">
        <v>549</v>
      </c>
      <c r="E30" s="14" t="s">
        <v>40</v>
      </c>
      <c r="H30">
        <v>2500</v>
      </c>
      <c r="M30" t="s">
        <v>29</v>
      </c>
      <c r="N30" s="14" t="s">
        <v>40</v>
      </c>
      <c r="AC30" s="14" t="s">
        <v>40</v>
      </c>
    </row>
    <row r="31" spans="1:31" x14ac:dyDescent="0.3">
      <c r="A31" t="s">
        <v>437</v>
      </c>
      <c r="B31" t="s">
        <v>496</v>
      </c>
      <c r="C31" s="14" t="s">
        <v>303</v>
      </c>
      <c r="D31" s="19"/>
      <c r="E31" s="14" t="s">
        <v>40</v>
      </c>
      <c r="H31" s="19">
        <v>44.03</v>
      </c>
      <c r="M31" t="s">
        <v>29</v>
      </c>
      <c r="N31" s="14" t="s">
        <v>40</v>
      </c>
      <c r="AC31" s="14" t="s">
        <v>40</v>
      </c>
    </row>
    <row r="32" spans="1:31" x14ac:dyDescent="0.3">
      <c r="A32" t="s">
        <v>438</v>
      </c>
      <c r="B32" t="s">
        <v>497</v>
      </c>
      <c r="C32" s="14" t="s">
        <v>303</v>
      </c>
      <c r="D32" s="19"/>
      <c r="E32" s="14" t="s">
        <v>40</v>
      </c>
      <c r="H32" s="19">
        <v>23.9</v>
      </c>
      <c r="M32" t="s">
        <v>29</v>
      </c>
      <c r="N32" s="14" t="s">
        <v>40</v>
      </c>
      <c r="AC32" s="14" t="s">
        <v>40</v>
      </c>
    </row>
    <row r="33" spans="1:29" x14ac:dyDescent="0.3">
      <c r="A33" t="s">
        <v>439</v>
      </c>
      <c r="B33" t="s">
        <v>498</v>
      </c>
      <c r="C33" s="14" t="s">
        <v>303</v>
      </c>
      <c r="D33" s="19"/>
      <c r="E33" s="14" t="s">
        <v>40</v>
      </c>
      <c r="H33" s="19">
        <v>251.33333329999999</v>
      </c>
      <c r="M33" t="s">
        <v>29</v>
      </c>
      <c r="N33" s="14" t="s">
        <v>40</v>
      </c>
      <c r="AC33" s="14" t="s">
        <v>40</v>
      </c>
    </row>
    <row r="34" spans="1:29" x14ac:dyDescent="0.3">
      <c r="A34" t="s">
        <v>440</v>
      </c>
      <c r="B34" t="s">
        <v>499</v>
      </c>
      <c r="C34" s="14" t="s">
        <v>303</v>
      </c>
      <c r="D34" s="19"/>
      <c r="E34" s="14" t="s">
        <v>40</v>
      </c>
      <c r="H34" s="19">
        <v>135000</v>
      </c>
      <c r="M34" t="s">
        <v>29</v>
      </c>
      <c r="N34" s="14" t="s">
        <v>40</v>
      </c>
      <c r="AC34" s="14" t="s">
        <v>40</v>
      </c>
    </row>
    <row r="35" spans="1:29" x14ac:dyDescent="0.3">
      <c r="A35" t="s">
        <v>441</v>
      </c>
      <c r="B35" t="s">
        <v>500</v>
      </c>
      <c r="C35" s="14" t="s">
        <v>303</v>
      </c>
      <c r="D35" s="19"/>
      <c r="E35" s="14" t="s">
        <v>40</v>
      </c>
      <c r="H35" s="19">
        <v>160</v>
      </c>
      <c r="M35" t="s">
        <v>29</v>
      </c>
      <c r="N35" s="14" t="s">
        <v>40</v>
      </c>
      <c r="AC35" s="14" t="s">
        <v>40</v>
      </c>
    </row>
    <row r="36" spans="1:29" x14ac:dyDescent="0.3">
      <c r="A36" t="s">
        <v>442</v>
      </c>
      <c r="B36" t="s">
        <v>501</v>
      </c>
      <c r="C36" s="14" t="s">
        <v>303</v>
      </c>
      <c r="D36" s="19"/>
      <c r="E36" s="14" t="s">
        <v>40</v>
      </c>
      <c r="H36" s="19">
        <v>29.616666670000001</v>
      </c>
      <c r="M36" t="s">
        <v>29</v>
      </c>
      <c r="N36" s="14" t="s">
        <v>40</v>
      </c>
      <c r="AC36" s="14" t="s">
        <v>40</v>
      </c>
    </row>
    <row r="37" spans="1:29" x14ac:dyDescent="0.3">
      <c r="A37" t="s">
        <v>443</v>
      </c>
      <c r="B37" t="s">
        <v>502</v>
      </c>
      <c r="C37" s="14" t="s">
        <v>301</v>
      </c>
      <c r="D37" s="19"/>
      <c r="E37" s="14" t="s">
        <v>40</v>
      </c>
      <c r="H37" s="19">
        <v>18.600000000000001</v>
      </c>
      <c r="M37" t="s">
        <v>29</v>
      </c>
      <c r="N37" s="14" t="s">
        <v>40</v>
      </c>
      <c r="AC37" s="14" t="s">
        <v>40</v>
      </c>
    </row>
    <row r="38" spans="1:29" x14ac:dyDescent="0.3">
      <c r="A38" t="s">
        <v>444</v>
      </c>
      <c r="B38" t="s">
        <v>212</v>
      </c>
      <c r="C38" s="14" t="s">
        <v>301</v>
      </c>
      <c r="D38" s="19"/>
      <c r="E38" s="14" t="s">
        <v>40</v>
      </c>
      <c r="H38" s="19">
        <v>320</v>
      </c>
      <c r="M38" t="s">
        <v>29</v>
      </c>
      <c r="N38" s="14" t="s">
        <v>40</v>
      </c>
      <c r="AC38" s="14" t="s">
        <v>40</v>
      </c>
    </row>
    <row r="39" spans="1:29" x14ac:dyDescent="0.3">
      <c r="A39" t="s">
        <v>445</v>
      </c>
      <c r="B39" t="s">
        <v>211</v>
      </c>
      <c r="C39" s="14" t="s">
        <v>301</v>
      </c>
      <c r="D39" s="19"/>
      <c r="E39" s="14" t="s">
        <v>40</v>
      </c>
      <c r="H39" s="19">
        <v>165</v>
      </c>
      <c r="M39" t="s">
        <v>29</v>
      </c>
      <c r="N39" s="14" t="s">
        <v>40</v>
      </c>
      <c r="AC39" s="14" t="s">
        <v>40</v>
      </c>
    </row>
    <row r="40" spans="1:29" x14ac:dyDescent="0.3">
      <c r="A40" t="s">
        <v>446</v>
      </c>
      <c r="B40" t="s">
        <v>503</v>
      </c>
      <c r="C40" s="14" t="s">
        <v>303</v>
      </c>
      <c r="D40" s="19"/>
      <c r="E40" s="14" t="s">
        <v>40</v>
      </c>
      <c r="H40" s="19">
        <v>184</v>
      </c>
      <c r="M40" t="s">
        <v>29</v>
      </c>
      <c r="N40" s="14" t="s">
        <v>40</v>
      </c>
      <c r="AC40" s="14" t="s">
        <v>40</v>
      </c>
    </row>
    <row r="41" spans="1:29" x14ac:dyDescent="0.3">
      <c r="A41" t="s">
        <v>447</v>
      </c>
      <c r="B41" t="s">
        <v>504</v>
      </c>
      <c r="C41" s="14" t="s">
        <v>303</v>
      </c>
      <c r="D41" s="19"/>
      <c r="E41" s="14" t="s">
        <v>40</v>
      </c>
      <c r="H41" s="19">
        <v>140</v>
      </c>
      <c r="M41" t="s">
        <v>29</v>
      </c>
      <c r="N41" s="14" t="s">
        <v>40</v>
      </c>
      <c r="AC41" s="14" t="s">
        <v>40</v>
      </c>
    </row>
    <row r="42" spans="1:29" x14ac:dyDescent="0.3">
      <c r="A42" t="s">
        <v>448</v>
      </c>
      <c r="B42" t="s">
        <v>505</v>
      </c>
      <c r="C42" s="14" t="s">
        <v>303</v>
      </c>
      <c r="D42" s="19"/>
      <c r="E42" s="14" t="s">
        <v>40</v>
      </c>
      <c r="H42" s="19">
        <v>539</v>
      </c>
      <c r="M42" t="s">
        <v>29</v>
      </c>
      <c r="N42" s="14" t="s">
        <v>40</v>
      </c>
      <c r="AC42" s="14" t="s">
        <v>40</v>
      </c>
    </row>
    <row r="43" spans="1:29" x14ac:dyDescent="0.3">
      <c r="A43" t="s">
        <v>449</v>
      </c>
      <c r="B43" t="s">
        <v>506</v>
      </c>
      <c r="C43" s="14" t="s">
        <v>303</v>
      </c>
      <c r="D43" s="19"/>
      <c r="E43" s="14" t="s">
        <v>40</v>
      </c>
      <c r="H43" s="19">
        <v>161.34</v>
      </c>
      <c r="M43" t="s">
        <v>29</v>
      </c>
      <c r="N43" s="14" t="s">
        <v>40</v>
      </c>
      <c r="AC43" s="14" t="s">
        <v>40</v>
      </c>
    </row>
    <row r="44" spans="1:29" x14ac:dyDescent="0.3">
      <c r="A44" t="s">
        <v>450</v>
      </c>
      <c r="B44" t="s">
        <v>651</v>
      </c>
      <c r="C44" s="14" t="s">
        <v>303</v>
      </c>
      <c r="D44" s="19"/>
      <c r="E44" s="14" t="s">
        <v>40</v>
      </c>
      <c r="H44" s="19">
        <v>781.5</v>
      </c>
      <c r="M44" t="s">
        <v>29</v>
      </c>
      <c r="N44" s="14" t="s">
        <v>40</v>
      </c>
      <c r="AC44" s="14" t="s">
        <v>40</v>
      </c>
    </row>
    <row r="45" spans="1:29" x14ac:dyDescent="0.3">
      <c r="A45" t="s">
        <v>451</v>
      </c>
      <c r="B45" t="s">
        <v>507</v>
      </c>
      <c r="C45" s="14" t="s">
        <v>303</v>
      </c>
      <c r="D45" s="19"/>
      <c r="E45" s="14" t="s">
        <v>40</v>
      </c>
      <c r="H45" s="19">
        <v>693.3</v>
      </c>
      <c r="M45" t="s">
        <v>29</v>
      </c>
      <c r="N45" s="14" t="s">
        <v>40</v>
      </c>
      <c r="AC45" s="14" t="s">
        <v>40</v>
      </c>
    </row>
    <row r="46" spans="1:29" x14ac:dyDescent="0.3">
      <c r="A46" t="s">
        <v>452</v>
      </c>
      <c r="B46" t="s">
        <v>508</v>
      </c>
      <c r="C46" s="14" t="s">
        <v>306</v>
      </c>
      <c r="D46" s="19"/>
      <c r="E46" s="14" t="s">
        <v>40</v>
      </c>
      <c r="H46" s="19">
        <v>96.7</v>
      </c>
      <c r="M46" t="s">
        <v>29</v>
      </c>
      <c r="N46" s="14" t="s">
        <v>40</v>
      </c>
      <c r="AC46" s="14" t="s">
        <v>40</v>
      </c>
    </row>
    <row r="47" spans="1:29" x14ac:dyDescent="0.3">
      <c r="A47" t="s">
        <v>453</v>
      </c>
      <c r="B47" t="s">
        <v>509</v>
      </c>
      <c r="C47" s="14" t="s">
        <v>306</v>
      </c>
      <c r="D47" s="19"/>
      <c r="E47" s="14" t="s">
        <v>40</v>
      </c>
      <c r="H47" s="19">
        <v>1042</v>
      </c>
      <c r="M47" t="s">
        <v>29</v>
      </c>
      <c r="N47" s="14" t="s">
        <v>40</v>
      </c>
      <c r="AC47" s="14" t="s">
        <v>40</v>
      </c>
    </row>
    <row r="48" spans="1:29" x14ac:dyDescent="0.3">
      <c r="A48" t="s">
        <v>454</v>
      </c>
      <c r="B48" t="s">
        <v>510</v>
      </c>
      <c r="C48" s="14" t="s">
        <v>301</v>
      </c>
      <c r="D48" s="19"/>
      <c r="E48" s="14" t="s">
        <v>40</v>
      </c>
      <c r="H48" s="19">
        <v>3200</v>
      </c>
      <c r="M48" t="s">
        <v>29</v>
      </c>
      <c r="N48" s="14" t="s">
        <v>40</v>
      </c>
      <c r="AC48" s="14" t="s">
        <v>40</v>
      </c>
    </row>
    <row r="49" spans="1:29" x14ac:dyDescent="0.3">
      <c r="A49" t="s">
        <v>455</v>
      </c>
      <c r="B49" t="s">
        <v>511</v>
      </c>
      <c r="C49" s="14" t="s">
        <v>303</v>
      </c>
      <c r="D49" s="19"/>
      <c r="E49" s="14" t="s">
        <v>40</v>
      </c>
      <c r="H49" s="19">
        <v>119</v>
      </c>
      <c r="M49" t="s">
        <v>29</v>
      </c>
      <c r="N49" s="14" t="s">
        <v>40</v>
      </c>
      <c r="AC49" s="14" t="s">
        <v>40</v>
      </c>
    </row>
    <row r="50" spans="1:29" x14ac:dyDescent="0.3">
      <c r="A50" t="s">
        <v>456</v>
      </c>
      <c r="B50" t="s">
        <v>512</v>
      </c>
      <c r="C50" s="14" t="s">
        <v>303</v>
      </c>
      <c r="D50" s="19"/>
      <c r="E50" s="14" t="s">
        <v>40</v>
      </c>
      <c r="H50" s="19">
        <v>111</v>
      </c>
      <c r="M50" t="s">
        <v>29</v>
      </c>
      <c r="N50" s="14" t="s">
        <v>40</v>
      </c>
      <c r="AC50" s="14" t="s">
        <v>40</v>
      </c>
    </row>
    <row r="51" spans="1:29" x14ac:dyDescent="0.3">
      <c r="A51" t="s">
        <v>457</v>
      </c>
      <c r="B51" t="s">
        <v>513</v>
      </c>
      <c r="C51" s="14" t="s">
        <v>303</v>
      </c>
      <c r="D51" s="19"/>
      <c r="E51" s="14" t="s">
        <v>40</v>
      </c>
      <c r="H51" s="19">
        <v>383</v>
      </c>
      <c r="M51" t="s">
        <v>29</v>
      </c>
      <c r="N51" s="14" t="s">
        <v>40</v>
      </c>
      <c r="AC51" s="14" t="s">
        <v>40</v>
      </c>
    </row>
    <row r="52" spans="1:29" x14ac:dyDescent="0.3">
      <c r="A52" t="s">
        <v>458</v>
      </c>
      <c r="B52" t="s">
        <v>514</v>
      </c>
      <c r="C52" s="14" t="s">
        <v>303</v>
      </c>
      <c r="D52" s="19"/>
      <c r="E52" s="14" t="s">
        <v>40</v>
      </c>
      <c r="H52" s="19">
        <v>184</v>
      </c>
      <c r="M52" t="s">
        <v>29</v>
      </c>
      <c r="N52" s="14" t="s">
        <v>40</v>
      </c>
      <c r="AC52" s="14" t="s">
        <v>40</v>
      </c>
    </row>
    <row r="53" spans="1:29" x14ac:dyDescent="0.3">
      <c r="A53" t="s">
        <v>459</v>
      </c>
      <c r="B53" t="s">
        <v>515</v>
      </c>
      <c r="C53" s="14" t="s">
        <v>303</v>
      </c>
      <c r="D53" s="19"/>
      <c r="E53" s="14" t="s">
        <v>40</v>
      </c>
      <c r="H53" s="19">
        <v>452</v>
      </c>
      <c r="M53" t="s">
        <v>29</v>
      </c>
      <c r="N53" s="14" t="s">
        <v>40</v>
      </c>
      <c r="AC53" s="14" t="s">
        <v>40</v>
      </c>
    </row>
    <row r="54" spans="1:29" x14ac:dyDescent="0.3">
      <c r="A54" t="s">
        <v>460</v>
      </c>
      <c r="B54" t="s">
        <v>516</v>
      </c>
      <c r="C54" s="14" t="s">
        <v>303</v>
      </c>
      <c r="D54" s="19"/>
      <c r="E54" s="14" t="s">
        <v>40</v>
      </c>
      <c r="H54" s="19">
        <v>194</v>
      </c>
      <c r="M54" t="s">
        <v>29</v>
      </c>
      <c r="N54" s="14" t="s">
        <v>40</v>
      </c>
      <c r="AC54" s="14" t="s">
        <v>40</v>
      </c>
    </row>
    <row r="55" spans="1:29" x14ac:dyDescent="0.3">
      <c r="A55" t="s">
        <v>461</v>
      </c>
      <c r="B55" t="s">
        <v>517</v>
      </c>
      <c r="C55" s="14" t="s">
        <v>301</v>
      </c>
      <c r="D55" s="19"/>
      <c r="E55" s="14" t="s">
        <v>40</v>
      </c>
      <c r="H55" s="19">
        <v>3618</v>
      </c>
      <c r="M55" t="s">
        <v>29</v>
      </c>
      <c r="N55" s="14" t="s">
        <v>40</v>
      </c>
      <c r="AC55" s="14" t="s">
        <v>40</v>
      </c>
    </row>
    <row r="56" spans="1:29" x14ac:dyDescent="0.3">
      <c r="A56" t="s">
        <v>462</v>
      </c>
      <c r="B56" t="s">
        <v>518</v>
      </c>
      <c r="C56" s="14" t="s">
        <v>301</v>
      </c>
      <c r="D56" s="19"/>
      <c r="E56" s="14" t="s">
        <v>40</v>
      </c>
      <c r="H56" s="19">
        <v>195.7</v>
      </c>
      <c r="M56" t="s">
        <v>29</v>
      </c>
      <c r="N56" s="14" t="s">
        <v>40</v>
      </c>
      <c r="AC56" s="14" t="s">
        <v>40</v>
      </c>
    </row>
    <row r="57" spans="1:29" x14ac:dyDescent="0.3">
      <c r="A57" t="s">
        <v>463</v>
      </c>
      <c r="B57" t="s">
        <v>519</v>
      </c>
      <c r="C57" s="14" t="s">
        <v>301</v>
      </c>
      <c r="E57" s="14" t="s">
        <v>40</v>
      </c>
      <c r="H57">
        <v>8400</v>
      </c>
      <c r="M57" t="s">
        <v>29</v>
      </c>
      <c r="N57" s="14" t="s">
        <v>40</v>
      </c>
      <c r="AC57" s="14" t="s">
        <v>40</v>
      </c>
    </row>
    <row r="58" spans="1:29" x14ac:dyDescent="0.3">
      <c r="A58" t="s">
        <v>464</v>
      </c>
      <c r="B58" t="s">
        <v>520</v>
      </c>
      <c r="C58" s="14" t="s">
        <v>301</v>
      </c>
      <c r="E58" s="14" t="s">
        <v>40</v>
      </c>
      <c r="H58">
        <v>6238</v>
      </c>
      <c r="M58" t="s">
        <v>29</v>
      </c>
      <c r="N58" s="14" t="s">
        <v>40</v>
      </c>
      <c r="AC58" s="14" t="s">
        <v>40</v>
      </c>
    </row>
    <row r="59" spans="1:29" x14ac:dyDescent="0.3">
      <c r="A59" t="s">
        <v>465</v>
      </c>
      <c r="B59" t="s">
        <v>521</v>
      </c>
      <c r="C59" s="14" t="s">
        <v>301</v>
      </c>
      <c r="E59" s="14" t="s">
        <v>217</v>
      </c>
      <c r="H59">
        <v>8.1950000000000003</v>
      </c>
      <c r="M59" t="s">
        <v>29</v>
      </c>
      <c r="N59" s="14" t="s">
        <v>217</v>
      </c>
      <c r="AC59" s="14" t="s">
        <v>217</v>
      </c>
    </row>
    <row r="60" spans="1:29" x14ac:dyDescent="0.3">
      <c r="A60" t="s">
        <v>466</v>
      </c>
      <c r="B60" t="s">
        <v>522</v>
      </c>
      <c r="C60" s="14" t="s">
        <v>301</v>
      </c>
      <c r="E60" s="14" t="s">
        <v>217</v>
      </c>
      <c r="H60">
        <v>6.4</v>
      </c>
      <c r="M60" t="s">
        <v>29</v>
      </c>
      <c r="N60" s="14" t="s">
        <v>217</v>
      </c>
      <c r="AC60" s="14" t="s">
        <v>217</v>
      </c>
    </row>
    <row r="61" spans="1:29" x14ac:dyDescent="0.3">
      <c r="A61" t="s">
        <v>467</v>
      </c>
      <c r="B61" t="s">
        <v>523</v>
      </c>
      <c r="C61" s="14" t="s">
        <v>301</v>
      </c>
      <c r="E61" s="14" t="s">
        <v>217</v>
      </c>
      <c r="H61">
        <v>6.4</v>
      </c>
      <c r="M61" t="s">
        <v>29</v>
      </c>
      <c r="N61" s="14" t="s">
        <v>217</v>
      </c>
      <c r="AC61" s="14" t="s">
        <v>217</v>
      </c>
    </row>
    <row r="62" spans="1:29" x14ac:dyDescent="0.3">
      <c r="A62" t="s">
        <v>468</v>
      </c>
      <c r="B62" t="s">
        <v>524</v>
      </c>
      <c r="C62" s="14" t="s">
        <v>301</v>
      </c>
      <c r="E62" s="14" t="s">
        <v>217</v>
      </c>
      <c r="H62">
        <v>6.4</v>
      </c>
      <c r="M62" t="s">
        <v>29</v>
      </c>
      <c r="N62" s="14" t="s">
        <v>217</v>
      </c>
      <c r="AC62" s="14" t="s">
        <v>217</v>
      </c>
    </row>
    <row r="63" spans="1:29" x14ac:dyDescent="0.3">
      <c r="A63" t="s">
        <v>469</v>
      </c>
      <c r="B63" t="s">
        <v>525</v>
      </c>
      <c r="C63" s="14" t="s">
        <v>301</v>
      </c>
      <c r="E63" s="14" t="s">
        <v>217</v>
      </c>
      <c r="H63">
        <v>6.5</v>
      </c>
      <c r="M63" t="s">
        <v>29</v>
      </c>
      <c r="N63" s="14" t="s">
        <v>217</v>
      </c>
      <c r="AC63" s="14" t="s">
        <v>217</v>
      </c>
    </row>
    <row r="64" spans="1:29" x14ac:dyDescent="0.3">
      <c r="A64" t="s">
        <v>470</v>
      </c>
      <c r="B64" t="s">
        <v>526</v>
      </c>
      <c r="C64" s="14" t="s">
        <v>301</v>
      </c>
      <c r="E64" s="14" t="s">
        <v>217</v>
      </c>
      <c r="H64">
        <v>7</v>
      </c>
      <c r="M64" t="s">
        <v>29</v>
      </c>
      <c r="N64" s="14" t="s">
        <v>217</v>
      </c>
      <c r="AC64" s="14" t="s">
        <v>217</v>
      </c>
    </row>
    <row r="65" spans="1:29" x14ac:dyDescent="0.3">
      <c r="A65" t="s">
        <v>471</v>
      </c>
      <c r="B65" t="s">
        <v>527</v>
      </c>
      <c r="C65" s="14" t="s">
        <v>301</v>
      </c>
      <c r="E65" s="14" t="s">
        <v>40</v>
      </c>
      <c r="H65">
        <v>980</v>
      </c>
      <c r="M65" t="s">
        <v>29</v>
      </c>
      <c r="N65" s="14" t="s">
        <v>40</v>
      </c>
      <c r="AC65" s="14" t="s">
        <v>40</v>
      </c>
    </row>
    <row r="66" spans="1:29" x14ac:dyDescent="0.3">
      <c r="A66" t="s">
        <v>472</v>
      </c>
      <c r="B66" t="s">
        <v>528</v>
      </c>
      <c r="C66" s="14" t="s">
        <v>301</v>
      </c>
      <c r="E66" s="14" t="s">
        <v>40</v>
      </c>
      <c r="H66">
        <v>980</v>
      </c>
      <c r="M66" t="s">
        <v>29</v>
      </c>
      <c r="N66" s="14" t="s">
        <v>40</v>
      </c>
      <c r="AC66" s="14" t="s">
        <v>40</v>
      </c>
    </row>
    <row r="67" spans="1:29" x14ac:dyDescent="0.3">
      <c r="A67" t="s">
        <v>473</v>
      </c>
      <c r="B67" t="s">
        <v>529</v>
      </c>
      <c r="C67" s="14" t="s">
        <v>301</v>
      </c>
      <c r="E67" s="14" t="s">
        <v>40</v>
      </c>
      <c r="H67">
        <v>2000</v>
      </c>
      <c r="M67" t="s">
        <v>29</v>
      </c>
      <c r="N67" s="14" t="s">
        <v>40</v>
      </c>
      <c r="AC67" s="14" t="s">
        <v>40</v>
      </c>
    </row>
    <row r="68" spans="1:29" x14ac:dyDescent="0.3">
      <c r="A68" t="s">
        <v>474</v>
      </c>
      <c r="B68" t="s">
        <v>530</v>
      </c>
      <c r="C68" s="14" t="s">
        <v>301</v>
      </c>
      <c r="E68" s="14" t="s">
        <v>40</v>
      </c>
      <c r="H68">
        <v>6200</v>
      </c>
      <c r="M68" t="s">
        <v>29</v>
      </c>
      <c r="N68" s="14" t="s">
        <v>40</v>
      </c>
      <c r="AC68" s="14" t="s">
        <v>40</v>
      </c>
    </row>
    <row r="69" spans="1:29" x14ac:dyDescent="0.3">
      <c r="A69" t="s">
        <v>475</v>
      </c>
      <c r="B69" t="s">
        <v>531</v>
      </c>
      <c r="C69" s="14" t="s">
        <v>301</v>
      </c>
      <c r="E69" s="14" t="s">
        <v>40</v>
      </c>
      <c r="H69">
        <v>6900</v>
      </c>
      <c r="M69" t="s">
        <v>29</v>
      </c>
      <c r="N69" s="14" t="s">
        <v>40</v>
      </c>
      <c r="AC69" s="14" t="s">
        <v>40</v>
      </c>
    </row>
    <row r="70" spans="1:29" x14ac:dyDescent="0.3">
      <c r="A70" t="s">
        <v>537</v>
      </c>
      <c r="B70" t="s">
        <v>532</v>
      </c>
      <c r="C70" s="14" t="s">
        <v>301</v>
      </c>
      <c r="E70" s="14" t="s">
        <v>40</v>
      </c>
      <c r="H70">
        <v>6500</v>
      </c>
      <c r="M70" t="s">
        <v>29</v>
      </c>
      <c r="N70" s="14" t="s">
        <v>40</v>
      </c>
      <c r="AC70" s="14" t="s">
        <v>40</v>
      </c>
    </row>
    <row r="71" spans="1:29" x14ac:dyDescent="0.3">
      <c r="A71" t="s">
        <v>538</v>
      </c>
      <c r="B71" t="s">
        <v>533</v>
      </c>
      <c r="C71" s="14" t="s">
        <v>301</v>
      </c>
      <c r="E71" s="14" t="s">
        <v>40</v>
      </c>
      <c r="H71">
        <v>90</v>
      </c>
      <c r="M71" t="s">
        <v>29</v>
      </c>
      <c r="N71" s="14" t="s">
        <v>40</v>
      </c>
      <c r="AC71" s="14" t="s">
        <v>40</v>
      </c>
    </row>
    <row r="72" spans="1:29" x14ac:dyDescent="0.3">
      <c r="A72" t="s">
        <v>539</v>
      </c>
      <c r="B72" t="s">
        <v>534</v>
      </c>
      <c r="C72" s="14" t="s">
        <v>301</v>
      </c>
      <c r="E72" s="14" t="s">
        <v>40</v>
      </c>
      <c r="H72">
        <v>186</v>
      </c>
      <c r="M72" t="s">
        <v>29</v>
      </c>
      <c r="N72" s="14" t="s">
        <v>40</v>
      </c>
      <c r="AC72" s="14" t="s">
        <v>40</v>
      </c>
    </row>
    <row r="73" spans="1:29" x14ac:dyDescent="0.3">
      <c r="A73" t="s">
        <v>540</v>
      </c>
      <c r="B73" t="s">
        <v>535</v>
      </c>
      <c r="C73" s="14" t="s">
        <v>301</v>
      </c>
      <c r="E73" s="14" t="s">
        <v>40</v>
      </c>
      <c r="H73">
        <v>566</v>
      </c>
      <c r="M73" t="s">
        <v>29</v>
      </c>
      <c r="N73" s="14" t="s">
        <v>40</v>
      </c>
      <c r="AC73" s="14" t="s">
        <v>40</v>
      </c>
    </row>
    <row r="74" spans="1:29" x14ac:dyDescent="0.3">
      <c r="A74" t="s">
        <v>541</v>
      </c>
      <c r="B74" t="s">
        <v>536</v>
      </c>
      <c r="C74" s="14" t="s">
        <v>301</v>
      </c>
      <c r="E74" s="14" t="s">
        <v>40</v>
      </c>
      <c r="H74">
        <v>256</v>
      </c>
      <c r="M74" t="s">
        <v>29</v>
      </c>
      <c r="N74" s="14" t="s">
        <v>40</v>
      </c>
      <c r="AC74" s="14" t="s">
        <v>40</v>
      </c>
    </row>
    <row r="75" spans="1:29" x14ac:dyDescent="0.3">
      <c r="A75" t="s">
        <v>543</v>
      </c>
      <c r="B75" t="s">
        <v>542</v>
      </c>
      <c r="C75" s="14" t="s">
        <v>303</v>
      </c>
      <c r="E75" s="14" t="s">
        <v>40</v>
      </c>
      <c r="H75">
        <v>184</v>
      </c>
      <c r="M75" t="s">
        <v>29</v>
      </c>
      <c r="N75" s="14" t="s">
        <v>40</v>
      </c>
      <c r="AC75" s="14" t="s">
        <v>40</v>
      </c>
    </row>
    <row r="76" spans="1:29" x14ac:dyDescent="0.3">
      <c r="A76" t="s">
        <v>544</v>
      </c>
      <c r="B76" t="s">
        <v>546</v>
      </c>
      <c r="C76" s="14" t="s">
        <v>303</v>
      </c>
      <c r="E76" s="14" t="s">
        <v>40</v>
      </c>
      <c r="H76">
        <v>380</v>
      </c>
      <c r="M76" t="s">
        <v>29</v>
      </c>
      <c r="N76" s="14" t="s">
        <v>40</v>
      </c>
      <c r="AC76" s="14" t="s">
        <v>40</v>
      </c>
    </row>
    <row r="77" spans="1:29" x14ac:dyDescent="0.3">
      <c r="A77" t="s">
        <v>545</v>
      </c>
      <c r="B77" t="s">
        <v>547</v>
      </c>
      <c r="C77" s="14" t="s">
        <v>303</v>
      </c>
      <c r="E77" s="14" t="s">
        <v>40</v>
      </c>
      <c r="H77">
        <v>70</v>
      </c>
      <c r="M77" t="s">
        <v>29</v>
      </c>
      <c r="N77" s="14" t="s">
        <v>40</v>
      </c>
      <c r="AC77" s="14" t="s">
        <v>40</v>
      </c>
    </row>
    <row r="78" spans="1:29" x14ac:dyDescent="0.3">
      <c r="A78" t="s">
        <v>550</v>
      </c>
      <c r="B78" t="s">
        <v>548</v>
      </c>
      <c r="C78" s="14" t="s">
        <v>303</v>
      </c>
      <c r="E78" s="14" t="s">
        <v>40</v>
      </c>
      <c r="H78">
        <v>80</v>
      </c>
      <c r="M78" t="s">
        <v>29</v>
      </c>
      <c r="N78" s="14" t="s">
        <v>40</v>
      </c>
      <c r="AC78" s="14" t="s">
        <v>40</v>
      </c>
    </row>
    <row r="79" spans="1:29" x14ac:dyDescent="0.3">
      <c r="A79" t="s">
        <v>584</v>
      </c>
      <c r="B79" t="s">
        <v>606</v>
      </c>
      <c r="C79" s="14" t="s">
        <v>486</v>
      </c>
      <c r="E79" s="14" t="s">
        <v>40</v>
      </c>
      <c r="H79" s="6">
        <v>20</v>
      </c>
      <c r="N79" s="14" t="s">
        <v>40</v>
      </c>
      <c r="AC79" s="14" t="s">
        <v>40</v>
      </c>
    </row>
    <row r="80" spans="1:29" x14ac:dyDescent="0.3">
      <c r="A80" t="s">
        <v>585</v>
      </c>
      <c r="B80" t="s">
        <v>607</v>
      </c>
      <c r="C80" s="14" t="s">
        <v>486</v>
      </c>
      <c r="E80" s="14" t="s">
        <v>40</v>
      </c>
      <c r="H80" s="6">
        <v>20</v>
      </c>
      <c r="N80" s="14" t="s">
        <v>40</v>
      </c>
      <c r="AC80" s="14" t="s">
        <v>40</v>
      </c>
    </row>
    <row r="81" spans="1:29" x14ac:dyDescent="0.3">
      <c r="A81" t="s">
        <v>586</v>
      </c>
      <c r="B81" t="s">
        <v>644</v>
      </c>
      <c r="C81" s="14" t="s">
        <v>487</v>
      </c>
      <c r="E81" s="14" t="s">
        <v>309</v>
      </c>
      <c r="H81" s="6">
        <v>1000</v>
      </c>
      <c r="N81" s="14" t="s">
        <v>309</v>
      </c>
      <c r="AC81" s="14" t="s">
        <v>309</v>
      </c>
    </row>
    <row r="82" spans="1:29" x14ac:dyDescent="0.3">
      <c r="A82" t="s">
        <v>587</v>
      </c>
      <c r="B82" t="s">
        <v>650</v>
      </c>
      <c r="C82" s="14" t="s">
        <v>487</v>
      </c>
      <c r="E82" s="14" t="s">
        <v>216</v>
      </c>
      <c r="H82" s="6">
        <v>2500</v>
      </c>
      <c r="N82" s="14" t="s">
        <v>216</v>
      </c>
      <c r="AC82" s="14" t="s">
        <v>216</v>
      </c>
    </row>
    <row r="83" spans="1:29" x14ac:dyDescent="0.3">
      <c r="A83" t="s">
        <v>588</v>
      </c>
      <c r="B83" t="s">
        <v>662</v>
      </c>
      <c r="C83" s="14" t="s">
        <v>664</v>
      </c>
      <c r="E83" s="14" t="s">
        <v>216</v>
      </c>
      <c r="H83" s="6">
        <v>1000</v>
      </c>
      <c r="N83" s="14" t="s">
        <v>216</v>
      </c>
      <c r="AC83" s="14" t="s">
        <v>216</v>
      </c>
    </row>
    <row r="84" spans="1:29" x14ac:dyDescent="0.3">
      <c r="A84" t="s">
        <v>589</v>
      </c>
      <c r="B84" t="s">
        <v>663</v>
      </c>
      <c r="C84" s="14" t="s">
        <v>664</v>
      </c>
      <c r="E84" s="14" t="s">
        <v>216</v>
      </c>
      <c r="H84" s="6">
        <v>1000</v>
      </c>
      <c r="N84" s="14" t="s">
        <v>216</v>
      </c>
      <c r="AC84" s="14" t="s">
        <v>216</v>
      </c>
    </row>
    <row r="85" spans="1:29" x14ac:dyDescent="0.3">
      <c r="A85" t="s">
        <v>590</v>
      </c>
      <c r="N85" s="14"/>
      <c r="AC85" s="14" t="s">
        <v>216</v>
      </c>
    </row>
    <row r="86" spans="1:29" x14ac:dyDescent="0.3">
      <c r="A86" t="s">
        <v>591</v>
      </c>
      <c r="B86" t="s">
        <v>679</v>
      </c>
      <c r="C86" s="14" t="s">
        <v>303</v>
      </c>
      <c r="E86" s="14" t="s">
        <v>40</v>
      </c>
      <c r="H86" s="6">
        <v>1</v>
      </c>
      <c r="N86" s="14" t="s">
        <v>40</v>
      </c>
      <c r="AC86" s="14" t="s">
        <v>40</v>
      </c>
    </row>
    <row r="87" spans="1:29" x14ac:dyDescent="0.3">
      <c r="A87" t="s">
        <v>592</v>
      </c>
      <c r="B87" t="s">
        <v>697</v>
      </c>
      <c r="C87" s="14" t="s">
        <v>303</v>
      </c>
      <c r="E87" s="14" t="s">
        <v>40</v>
      </c>
      <c r="H87" s="6">
        <v>1</v>
      </c>
      <c r="N87" s="14" t="s">
        <v>40</v>
      </c>
    </row>
    <row r="88" spans="1:29" x14ac:dyDescent="0.3">
      <c r="A88" t="s">
        <v>593</v>
      </c>
      <c r="B88" t="s">
        <v>698</v>
      </c>
      <c r="C88" s="14" t="s">
        <v>303</v>
      </c>
      <c r="E88" s="14" t="s">
        <v>40</v>
      </c>
      <c r="H88" s="6">
        <v>1</v>
      </c>
      <c r="N88" s="14" t="s">
        <v>40</v>
      </c>
    </row>
    <row r="89" spans="1:29" x14ac:dyDescent="0.3">
      <c r="A89" t="s">
        <v>594</v>
      </c>
      <c r="B89" t="s">
        <v>702</v>
      </c>
      <c r="C89" s="14" t="s">
        <v>303</v>
      </c>
      <c r="E89" s="14" t="s">
        <v>40</v>
      </c>
      <c r="H89" s="6">
        <v>1</v>
      </c>
      <c r="N89" s="14" t="s">
        <v>40</v>
      </c>
    </row>
    <row r="90" spans="1:29" x14ac:dyDescent="0.3">
      <c r="A90" t="s">
        <v>595</v>
      </c>
      <c r="B90" t="s">
        <v>703</v>
      </c>
      <c r="C90" s="14" t="s">
        <v>303</v>
      </c>
      <c r="E90" s="14" t="s">
        <v>40</v>
      </c>
      <c r="H90" s="6">
        <v>1</v>
      </c>
      <c r="N90" s="14" t="s">
        <v>40</v>
      </c>
    </row>
    <row r="91" spans="1:29" x14ac:dyDescent="0.3">
      <c r="A91" t="s">
        <v>596</v>
      </c>
      <c r="B91" t="s">
        <v>706</v>
      </c>
      <c r="C91" s="14" t="s">
        <v>301</v>
      </c>
      <c r="E91" s="14" t="s">
        <v>216</v>
      </c>
      <c r="H91" s="6">
        <v>75</v>
      </c>
      <c r="N91" s="14"/>
    </row>
    <row r="92" spans="1:29" x14ac:dyDescent="0.3">
      <c r="A92" t="s">
        <v>597</v>
      </c>
      <c r="B92" t="s">
        <v>707</v>
      </c>
      <c r="C92" s="14" t="s">
        <v>301</v>
      </c>
      <c r="E92" s="14" t="s">
        <v>216</v>
      </c>
      <c r="H92" s="6">
        <v>75</v>
      </c>
      <c r="N92" s="14"/>
    </row>
    <row r="93" spans="1:29" x14ac:dyDescent="0.3">
      <c r="A93" t="s">
        <v>598</v>
      </c>
      <c r="B93" t="s">
        <v>708</v>
      </c>
      <c r="C93" s="14" t="s">
        <v>301</v>
      </c>
      <c r="E93" s="14" t="s">
        <v>216</v>
      </c>
      <c r="H93" s="6">
        <v>75</v>
      </c>
      <c r="N93" s="14"/>
    </row>
    <row r="94" spans="1:29" x14ac:dyDescent="0.3">
      <c r="A94" t="s">
        <v>599</v>
      </c>
      <c r="B94" s="29" t="s">
        <v>724</v>
      </c>
      <c r="C94" s="14" t="s">
        <v>301</v>
      </c>
      <c r="E94" s="14" t="s">
        <v>216</v>
      </c>
      <c r="H94" s="6">
        <v>500</v>
      </c>
      <c r="N94" s="14"/>
    </row>
    <row r="95" spans="1:29" x14ac:dyDescent="0.3">
      <c r="A95" t="s">
        <v>600</v>
      </c>
      <c r="B95" s="29" t="s">
        <v>718</v>
      </c>
      <c r="C95" s="14" t="s">
        <v>301</v>
      </c>
      <c r="E95" s="14" t="s">
        <v>216</v>
      </c>
      <c r="H95" s="6">
        <v>500</v>
      </c>
      <c r="N95" s="14"/>
    </row>
    <row r="96" spans="1:29" x14ac:dyDescent="0.3">
      <c r="A96" t="s">
        <v>601</v>
      </c>
      <c r="B96" s="29" t="s">
        <v>719</v>
      </c>
      <c r="C96" s="14" t="s">
        <v>300</v>
      </c>
      <c r="E96" s="14" t="s">
        <v>216</v>
      </c>
      <c r="H96" s="6">
        <v>500</v>
      </c>
      <c r="N96" s="14"/>
    </row>
    <row r="97" spans="1:14" x14ac:dyDescent="0.3">
      <c r="A97" t="s">
        <v>602</v>
      </c>
      <c r="B97" s="29" t="s">
        <v>720</v>
      </c>
      <c r="C97" s="14" t="s">
        <v>301</v>
      </c>
      <c r="E97" s="14" t="s">
        <v>216</v>
      </c>
      <c r="H97" s="6">
        <v>500</v>
      </c>
      <c r="N97" s="14"/>
    </row>
    <row r="98" spans="1:14" x14ac:dyDescent="0.3">
      <c r="A98" t="s">
        <v>603</v>
      </c>
      <c r="B98" s="29" t="s">
        <v>721</v>
      </c>
      <c r="C98" s="14" t="s">
        <v>301</v>
      </c>
      <c r="E98" s="14" t="s">
        <v>40</v>
      </c>
      <c r="H98" s="6">
        <v>1</v>
      </c>
    </row>
    <row r="99" spans="1:14" x14ac:dyDescent="0.3">
      <c r="A99" t="s">
        <v>604</v>
      </c>
      <c r="B99" s="29" t="s">
        <v>722</v>
      </c>
      <c r="C99" s="14" t="s">
        <v>301</v>
      </c>
      <c r="E99" s="14" t="s">
        <v>216</v>
      </c>
      <c r="H99" s="6">
        <v>500</v>
      </c>
    </row>
    <row r="100" spans="1:14" x14ac:dyDescent="0.3">
      <c r="A100" t="s">
        <v>605</v>
      </c>
      <c r="B100" s="29" t="s">
        <v>723</v>
      </c>
      <c r="C100" s="14" t="s">
        <v>301</v>
      </c>
      <c r="E100" s="14" t="s">
        <v>216</v>
      </c>
      <c r="H100" s="6">
        <v>500</v>
      </c>
    </row>
    <row r="101" spans="1:14" x14ac:dyDescent="0.3">
      <c r="A101" t="s">
        <v>713</v>
      </c>
      <c r="B101" s="29" t="s">
        <v>729</v>
      </c>
      <c r="C101" s="14" t="s">
        <v>487</v>
      </c>
      <c r="E101" s="14" t="s">
        <v>216</v>
      </c>
      <c r="H101" s="6">
        <v>1000</v>
      </c>
    </row>
    <row r="102" spans="1:14" x14ac:dyDescent="0.3">
      <c r="A102" t="s">
        <v>714</v>
      </c>
      <c r="B102" s="29" t="s">
        <v>730</v>
      </c>
      <c r="C102" s="14" t="s">
        <v>664</v>
      </c>
      <c r="E102" s="14" t="s">
        <v>216</v>
      </c>
      <c r="H102" s="6">
        <v>1000</v>
      </c>
    </row>
    <row r="103" spans="1:14" x14ac:dyDescent="0.3">
      <c r="A103" t="s">
        <v>715</v>
      </c>
      <c r="B103" s="29" t="s">
        <v>736</v>
      </c>
      <c r="C103" s="14" t="s">
        <v>301</v>
      </c>
      <c r="E103" s="14" t="s">
        <v>216</v>
      </c>
      <c r="H103" s="6">
        <v>500</v>
      </c>
    </row>
    <row r="104" spans="1:14" x14ac:dyDescent="0.3">
      <c r="A104" t="s">
        <v>716</v>
      </c>
      <c r="B104" s="30"/>
    </row>
    <row r="105" spans="1:14" x14ac:dyDescent="0.3">
      <c r="A105" t="s">
        <v>717</v>
      </c>
      <c r="B105" s="30"/>
    </row>
    <row r="106" spans="1:14" x14ac:dyDescent="0.3">
      <c r="B106" s="30"/>
    </row>
  </sheetData>
  <phoneticPr fontId="4"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5"/>
  <sheetViews>
    <sheetView topLeftCell="A90" workbookViewId="0">
      <selection activeCell="A105" sqref="A105:B105"/>
    </sheetView>
  </sheetViews>
  <sheetFormatPr baseColWidth="10" defaultColWidth="9.109375" defaultRowHeight="14.4" x14ac:dyDescent="0.3"/>
  <cols>
    <col min="2" max="2" width="32" customWidth="1"/>
    <col min="3" max="3" width="20.33203125" style="14" bestFit="1" customWidth="1"/>
    <col min="4" max="4" width="10.44140625" customWidth="1"/>
    <col min="5" max="5" width="9.109375" style="14"/>
    <col min="6" max="7" width="0" hidden="1" customWidth="1"/>
    <col min="8" max="8" width="9.44140625" style="6" bestFit="1" customWidth="1"/>
    <col min="9" max="10" width="0" hidden="1" customWidth="1"/>
    <col min="11" max="11" width="4.109375" hidden="1" customWidth="1"/>
    <col min="12" max="12" width="1.77734375" customWidth="1"/>
    <col min="13" max="13" width="9.6640625" bestFit="1" customWidth="1"/>
    <col min="14" max="14" width="19.33203125" customWidth="1"/>
    <col min="15" max="15" width="13.6640625" style="6" customWidth="1"/>
    <col min="16" max="16" width="11.77734375" style="14" customWidth="1"/>
    <col min="17" max="17" width="10.6640625" hidden="1" customWidth="1"/>
    <col min="18" max="18" width="10.33203125" hidden="1" customWidth="1"/>
    <col min="19" max="19" width="10.44140625" hidden="1" customWidth="1"/>
    <col min="20" max="21" width="0" hidden="1" customWidth="1"/>
    <col min="22" max="22" width="10.6640625" hidden="1" customWidth="1"/>
    <col min="23" max="23" width="0" hidden="1" customWidth="1"/>
    <col min="24" max="24" width="12.44140625" hidden="1" customWidth="1"/>
    <col min="25" max="25" width="0" hidden="1" customWidth="1"/>
    <col min="26" max="26" width="15.33203125" hidden="1" customWidth="1"/>
    <col min="27" max="27" width="12.44140625" hidden="1" customWidth="1"/>
    <col min="28" max="28" width="11.109375" hidden="1" customWidth="1"/>
    <col min="29" max="29" width="11.109375" style="14" customWidth="1"/>
  </cols>
  <sheetData>
    <row r="1" spans="1:29" s="4" customFormat="1" ht="72" x14ac:dyDescent="0.3">
      <c r="A1" s="1" t="s">
        <v>0</v>
      </c>
      <c r="B1" s="1" t="s">
        <v>1</v>
      </c>
      <c r="C1" s="1" t="s">
        <v>2</v>
      </c>
      <c r="D1" s="1" t="s">
        <v>3</v>
      </c>
      <c r="E1" s="1" t="s">
        <v>4</v>
      </c>
      <c r="F1" s="2" t="s">
        <v>5</v>
      </c>
      <c r="G1" s="2" t="s">
        <v>6</v>
      </c>
      <c r="H1" s="5" t="s">
        <v>7</v>
      </c>
      <c r="I1" s="2" t="s">
        <v>8</v>
      </c>
      <c r="J1" s="2" t="s">
        <v>9</v>
      </c>
      <c r="K1" s="2" t="s">
        <v>10</v>
      </c>
      <c r="L1" s="2" t="s">
        <v>11</v>
      </c>
      <c r="M1" s="1" t="s">
        <v>12</v>
      </c>
      <c r="N1" s="2" t="s">
        <v>30</v>
      </c>
      <c r="O1" s="7" t="s">
        <v>31</v>
      </c>
      <c r="P1" s="1" t="s">
        <v>13</v>
      </c>
      <c r="Q1" s="2" t="s">
        <v>14</v>
      </c>
      <c r="R1" s="2" t="s">
        <v>15</v>
      </c>
      <c r="S1" s="3" t="s">
        <v>16</v>
      </c>
      <c r="T1" s="2" t="s">
        <v>17</v>
      </c>
      <c r="U1" s="2" t="s">
        <v>18</v>
      </c>
      <c r="V1" s="2" t="s">
        <v>19</v>
      </c>
      <c r="W1" s="2" t="s">
        <v>20</v>
      </c>
      <c r="X1" s="2" t="s">
        <v>21</v>
      </c>
      <c r="Y1" s="2" t="s">
        <v>22</v>
      </c>
      <c r="Z1" s="2" t="s">
        <v>23</v>
      </c>
      <c r="AA1" s="2" t="s">
        <v>24</v>
      </c>
      <c r="AB1" s="4" t="s">
        <v>25</v>
      </c>
      <c r="AC1" s="4" t="s">
        <v>26</v>
      </c>
    </row>
    <row r="2" spans="1:29" x14ac:dyDescent="0.3">
      <c r="A2" t="s">
        <v>32</v>
      </c>
      <c r="B2" t="s">
        <v>218</v>
      </c>
      <c r="C2" s="14" t="s">
        <v>27</v>
      </c>
      <c r="E2" s="14" t="s">
        <v>216</v>
      </c>
      <c r="H2" s="6">
        <v>22</v>
      </c>
      <c r="M2" t="s">
        <v>29</v>
      </c>
      <c r="N2" s="14" t="s">
        <v>216</v>
      </c>
      <c r="O2" s="6">
        <v>12000</v>
      </c>
      <c r="P2" s="14" t="s">
        <v>28</v>
      </c>
      <c r="AC2" s="14" t="s">
        <v>216</v>
      </c>
    </row>
    <row r="3" spans="1:29" x14ac:dyDescent="0.3">
      <c r="A3" t="s">
        <v>33</v>
      </c>
      <c r="B3" t="s">
        <v>127</v>
      </c>
      <c r="C3" s="14" t="s">
        <v>27</v>
      </c>
      <c r="E3" s="14" t="s">
        <v>216</v>
      </c>
      <c r="H3" s="6">
        <v>27</v>
      </c>
      <c r="M3" t="s">
        <v>29</v>
      </c>
      <c r="N3" s="14" t="s">
        <v>216</v>
      </c>
      <c r="O3" s="6">
        <v>8000</v>
      </c>
      <c r="P3" s="14" t="s">
        <v>28</v>
      </c>
      <c r="AC3" s="14" t="s">
        <v>216</v>
      </c>
    </row>
    <row r="4" spans="1:29" x14ac:dyDescent="0.3">
      <c r="A4" t="s">
        <v>34</v>
      </c>
      <c r="B4" t="s">
        <v>128</v>
      </c>
      <c r="C4" s="14" t="s">
        <v>27</v>
      </c>
      <c r="E4" s="14" t="s">
        <v>216</v>
      </c>
      <c r="H4" s="6">
        <v>36</v>
      </c>
      <c r="M4" t="s">
        <v>29</v>
      </c>
      <c r="N4" s="14" t="s">
        <v>216</v>
      </c>
      <c r="O4" s="6">
        <v>20000</v>
      </c>
      <c r="P4" s="14" t="s">
        <v>274</v>
      </c>
      <c r="AC4" s="14" t="s">
        <v>216</v>
      </c>
    </row>
    <row r="5" spans="1:29" x14ac:dyDescent="0.3">
      <c r="A5" t="s">
        <v>35</v>
      </c>
      <c r="B5" t="s">
        <v>129</v>
      </c>
      <c r="C5" s="14" t="s">
        <v>299</v>
      </c>
      <c r="E5" s="14" t="s">
        <v>216</v>
      </c>
      <c r="H5" s="6">
        <v>38</v>
      </c>
      <c r="M5" t="s">
        <v>29</v>
      </c>
      <c r="N5" s="14" t="s">
        <v>216</v>
      </c>
      <c r="O5" s="6">
        <v>25000</v>
      </c>
      <c r="P5" s="14" t="s">
        <v>28</v>
      </c>
      <c r="AC5" s="14" t="s">
        <v>216</v>
      </c>
    </row>
    <row r="6" spans="1:29" x14ac:dyDescent="0.3">
      <c r="A6" t="s">
        <v>36</v>
      </c>
      <c r="B6" t="s">
        <v>130</v>
      </c>
      <c r="C6" s="14" t="s">
        <v>299</v>
      </c>
      <c r="E6" s="14" t="s">
        <v>216</v>
      </c>
      <c r="H6" s="6">
        <v>20.2</v>
      </c>
      <c r="M6" t="s">
        <v>29</v>
      </c>
      <c r="N6" s="14" t="s">
        <v>216</v>
      </c>
      <c r="O6" s="6">
        <v>18500</v>
      </c>
      <c r="P6" s="14" t="s">
        <v>28</v>
      </c>
      <c r="AC6" s="14" t="s">
        <v>216</v>
      </c>
    </row>
    <row r="7" spans="1:29" x14ac:dyDescent="0.3">
      <c r="A7" t="s">
        <v>37</v>
      </c>
      <c r="B7" t="s">
        <v>113</v>
      </c>
      <c r="C7" s="14" t="s">
        <v>300</v>
      </c>
      <c r="E7" s="14" t="s">
        <v>216</v>
      </c>
      <c r="H7" s="6">
        <v>16</v>
      </c>
      <c r="M7" t="s">
        <v>29</v>
      </c>
      <c r="N7" s="14" t="s">
        <v>216</v>
      </c>
      <c r="O7" s="6">
        <v>12000</v>
      </c>
      <c r="P7" s="14" t="s">
        <v>28</v>
      </c>
      <c r="AC7" s="14" t="s">
        <v>216</v>
      </c>
    </row>
    <row r="8" spans="1:29" x14ac:dyDescent="0.3">
      <c r="A8" t="s">
        <v>38</v>
      </c>
      <c r="B8" t="s">
        <v>131</v>
      </c>
      <c r="C8" s="14" t="s">
        <v>299</v>
      </c>
      <c r="E8" s="14" t="s">
        <v>216</v>
      </c>
      <c r="H8" s="6">
        <v>34</v>
      </c>
      <c r="M8" t="s">
        <v>29</v>
      </c>
      <c r="N8" s="14" t="s">
        <v>216</v>
      </c>
      <c r="O8" s="6">
        <v>12000</v>
      </c>
      <c r="P8" s="14" t="s">
        <v>28</v>
      </c>
      <c r="AC8" s="14" t="s">
        <v>216</v>
      </c>
    </row>
    <row r="9" spans="1:29" x14ac:dyDescent="0.3">
      <c r="A9" t="s">
        <v>39</v>
      </c>
      <c r="B9" t="s">
        <v>132</v>
      </c>
      <c r="C9" s="14" t="s">
        <v>299</v>
      </c>
      <c r="E9" s="14" t="s">
        <v>216</v>
      </c>
      <c r="H9" s="6">
        <v>37</v>
      </c>
      <c r="M9" t="s">
        <v>29</v>
      </c>
      <c r="N9" s="14" t="s">
        <v>216</v>
      </c>
      <c r="O9" s="6">
        <v>50000</v>
      </c>
      <c r="P9" s="14" t="s">
        <v>28</v>
      </c>
      <c r="AC9" s="14" t="s">
        <v>216</v>
      </c>
    </row>
    <row r="10" spans="1:29" x14ac:dyDescent="0.3">
      <c r="A10" t="s">
        <v>115</v>
      </c>
      <c r="B10" t="s">
        <v>133</v>
      </c>
      <c r="C10" s="14" t="s">
        <v>300</v>
      </c>
      <c r="E10" s="14" t="s">
        <v>216</v>
      </c>
      <c r="H10" s="6">
        <v>6</v>
      </c>
      <c r="M10" t="s">
        <v>29</v>
      </c>
      <c r="N10" s="14" t="s">
        <v>216</v>
      </c>
      <c r="O10" s="6">
        <v>50000</v>
      </c>
      <c r="P10" s="14" t="s">
        <v>28</v>
      </c>
      <c r="AC10" s="14" t="s">
        <v>216</v>
      </c>
    </row>
    <row r="11" spans="1:29" x14ac:dyDescent="0.3">
      <c r="A11" t="s">
        <v>116</v>
      </c>
      <c r="B11" t="s">
        <v>134</v>
      </c>
      <c r="C11" s="14" t="s">
        <v>299</v>
      </c>
      <c r="E11" s="14" t="s">
        <v>216</v>
      </c>
      <c r="H11" s="6">
        <v>120</v>
      </c>
      <c r="M11" t="s">
        <v>29</v>
      </c>
      <c r="N11" s="14" t="s">
        <v>216</v>
      </c>
      <c r="O11" s="6">
        <v>12000</v>
      </c>
      <c r="P11" s="14" t="s">
        <v>28</v>
      </c>
      <c r="AC11" s="14" t="s">
        <v>216</v>
      </c>
    </row>
    <row r="12" spans="1:29" x14ac:dyDescent="0.3">
      <c r="A12" t="s">
        <v>117</v>
      </c>
      <c r="B12" t="s">
        <v>135</v>
      </c>
      <c r="C12" s="14" t="s">
        <v>299</v>
      </c>
      <c r="E12" s="14" t="s">
        <v>216</v>
      </c>
      <c r="H12" s="6">
        <v>135</v>
      </c>
      <c r="M12" t="s">
        <v>29</v>
      </c>
      <c r="N12" s="14" t="s">
        <v>216</v>
      </c>
      <c r="O12" s="6">
        <v>2000</v>
      </c>
      <c r="P12" s="14" t="s">
        <v>28</v>
      </c>
      <c r="AC12" s="14" t="s">
        <v>216</v>
      </c>
    </row>
    <row r="13" spans="1:29" x14ac:dyDescent="0.3">
      <c r="A13" t="s">
        <v>219</v>
      </c>
      <c r="B13" t="s">
        <v>136</v>
      </c>
      <c r="C13" s="14" t="s">
        <v>299</v>
      </c>
      <c r="E13" s="14" t="s">
        <v>216</v>
      </c>
      <c r="H13" s="6">
        <v>131</v>
      </c>
      <c r="M13" t="s">
        <v>29</v>
      </c>
      <c r="N13" s="14" t="s">
        <v>216</v>
      </c>
      <c r="O13" s="6">
        <v>1000</v>
      </c>
      <c r="P13" s="14" t="s">
        <v>28</v>
      </c>
      <c r="AC13" s="14" t="s">
        <v>216</v>
      </c>
    </row>
    <row r="14" spans="1:29" x14ac:dyDescent="0.3">
      <c r="A14" t="s">
        <v>220</v>
      </c>
      <c r="B14" t="s">
        <v>137</v>
      </c>
      <c r="C14" s="14" t="s">
        <v>299</v>
      </c>
      <c r="E14" s="14" t="s">
        <v>216</v>
      </c>
      <c r="H14" s="6">
        <v>60</v>
      </c>
      <c r="M14" t="s">
        <v>29</v>
      </c>
      <c r="N14" s="14" t="s">
        <v>216</v>
      </c>
      <c r="AC14" s="14" t="s">
        <v>216</v>
      </c>
    </row>
    <row r="15" spans="1:29" x14ac:dyDescent="0.3">
      <c r="A15" t="s">
        <v>221</v>
      </c>
      <c r="B15" t="s">
        <v>138</v>
      </c>
      <c r="C15" s="14" t="s">
        <v>299</v>
      </c>
      <c r="E15" s="14" t="s">
        <v>216</v>
      </c>
      <c r="H15" s="6">
        <v>44.03</v>
      </c>
      <c r="M15" t="s">
        <v>29</v>
      </c>
      <c r="N15" s="14" t="s">
        <v>216</v>
      </c>
      <c r="AC15" s="14" t="s">
        <v>216</v>
      </c>
    </row>
    <row r="16" spans="1:29" x14ac:dyDescent="0.3">
      <c r="A16" t="s">
        <v>222</v>
      </c>
      <c r="B16" t="s">
        <v>139</v>
      </c>
      <c r="C16" s="14" t="s">
        <v>27</v>
      </c>
      <c r="E16" s="14" t="s">
        <v>216</v>
      </c>
      <c r="H16" s="6">
        <v>8</v>
      </c>
      <c r="M16" t="s">
        <v>29</v>
      </c>
      <c r="N16" s="14" t="s">
        <v>216</v>
      </c>
      <c r="AC16" s="14" t="s">
        <v>216</v>
      </c>
    </row>
    <row r="17" spans="1:29" x14ac:dyDescent="0.3">
      <c r="A17" t="s">
        <v>223</v>
      </c>
      <c r="B17" t="s">
        <v>140</v>
      </c>
      <c r="C17" s="14" t="s">
        <v>27</v>
      </c>
      <c r="E17" s="14" t="s">
        <v>216</v>
      </c>
      <c r="H17" s="6">
        <v>5</v>
      </c>
      <c r="M17" t="s">
        <v>29</v>
      </c>
      <c r="N17" s="14" t="s">
        <v>216</v>
      </c>
      <c r="AC17" s="14" t="s">
        <v>216</v>
      </c>
    </row>
    <row r="18" spans="1:29" x14ac:dyDescent="0.3">
      <c r="A18" t="s">
        <v>224</v>
      </c>
      <c r="B18" t="s">
        <v>141</v>
      </c>
      <c r="C18" s="14" t="s">
        <v>27</v>
      </c>
      <c r="E18" s="14" t="s">
        <v>216</v>
      </c>
      <c r="H18" s="6">
        <v>4</v>
      </c>
      <c r="M18" t="s">
        <v>29</v>
      </c>
      <c r="N18" s="14" t="s">
        <v>216</v>
      </c>
      <c r="AC18" s="14" t="s">
        <v>216</v>
      </c>
    </row>
    <row r="19" spans="1:29" x14ac:dyDescent="0.3">
      <c r="A19" t="s">
        <v>225</v>
      </c>
      <c r="B19" t="s">
        <v>142</v>
      </c>
      <c r="C19" s="14" t="s">
        <v>27</v>
      </c>
      <c r="E19" s="14" t="s">
        <v>216</v>
      </c>
      <c r="H19" s="6">
        <v>19</v>
      </c>
      <c r="M19" t="s">
        <v>29</v>
      </c>
      <c r="N19" s="14" t="s">
        <v>216</v>
      </c>
      <c r="AC19" s="14" t="s">
        <v>216</v>
      </c>
    </row>
    <row r="20" spans="1:29" x14ac:dyDescent="0.3">
      <c r="A20" t="s">
        <v>226</v>
      </c>
      <c r="B20" t="s">
        <v>143</v>
      </c>
      <c r="C20" s="14" t="s">
        <v>300</v>
      </c>
      <c r="E20" s="14" t="s">
        <v>216</v>
      </c>
      <c r="H20" s="6">
        <v>18</v>
      </c>
      <c r="M20" t="s">
        <v>29</v>
      </c>
      <c r="N20" s="14" t="s">
        <v>216</v>
      </c>
      <c r="AC20" s="14" t="s">
        <v>216</v>
      </c>
    </row>
    <row r="21" spans="1:29" x14ac:dyDescent="0.3">
      <c r="A21" t="s">
        <v>227</v>
      </c>
      <c r="B21" t="s">
        <v>144</v>
      </c>
      <c r="C21" s="14" t="s">
        <v>299</v>
      </c>
      <c r="E21" s="14" t="s">
        <v>216</v>
      </c>
      <c r="H21" s="6">
        <v>23</v>
      </c>
      <c r="M21" t="s">
        <v>29</v>
      </c>
      <c r="N21" s="14" t="s">
        <v>216</v>
      </c>
      <c r="AC21" s="14" t="s">
        <v>216</v>
      </c>
    </row>
    <row r="22" spans="1:29" x14ac:dyDescent="0.3">
      <c r="A22" t="s">
        <v>228</v>
      </c>
      <c r="B22" t="s">
        <v>145</v>
      </c>
      <c r="C22" s="14" t="s">
        <v>299</v>
      </c>
      <c r="E22" s="14" t="s">
        <v>216</v>
      </c>
      <c r="H22" s="6">
        <v>9</v>
      </c>
      <c r="M22" t="s">
        <v>29</v>
      </c>
      <c r="N22" s="14" t="s">
        <v>216</v>
      </c>
      <c r="AC22" s="14" t="s">
        <v>216</v>
      </c>
    </row>
    <row r="23" spans="1:29" x14ac:dyDescent="0.3">
      <c r="A23" t="s">
        <v>229</v>
      </c>
      <c r="B23" t="s">
        <v>146</v>
      </c>
      <c r="C23" s="14" t="s">
        <v>299</v>
      </c>
      <c r="E23" s="14" t="s">
        <v>216</v>
      </c>
      <c r="H23" s="6">
        <v>31</v>
      </c>
      <c r="M23" t="s">
        <v>29</v>
      </c>
      <c r="N23" s="14" t="s">
        <v>216</v>
      </c>
      <c r="AC23" s="14" t="s">
        <v>216</v>
      </c>
    </row>
    <row r="24" spans="1:29" x14ac:dyDescent="0.3">
      <c r="A24" t="s">
        <v>230</v>
      </c>
      <c r="B24" t="s">
        <v>147</v>
      </c>
      <c r="C24" s="14" t="s">
        <v>299</v>
      </c>
      <c r="E24" s="14" t="s">
        <v>216</v>
      </c>
      <c r="H24" s="6">
        <v>69</v>
      </c>
      <c r="M24" t="s">
        <v>29</v>
      </c>
      <c r="N24" s="14" t="s">
        <v>216</v>
      </c>
      <c r="AC24" s="14" t="s">
        <v>216</v>
      </c>
    </row>
    <row r="25" spans="1:29" x14ac:dyDescent="0.3">
      <c r="A25" t="s">
        <v>231</v>
      </c>
      <c r="B25" t="s">
        <v>148</v>
      </c>
      <c r="C25" s="14" t="s">
        <v>299</v>
      </c>
      <c r="E25" s="14" t="s">
        <v>216</v>
      </c>
      <c r="H25" s="6">
        <v>63</v>
      </c>
      <c r="M25" t="s">
        <v>29</v>
      </c>
      <c r="N25" s="14" t="s">
        <v>216</v>
      </c>
      <c r="AC25" s="14" t="s">
        <v>216</v>
      </c>
    </row>
    <row r="26" spans="1:29" x14ac:dyDescent="0.3">
      <c r="A26" t="s">
        <v>232</v>
      </c>
      <c r="B26" t="s">
        <v>149</v>
      </c>
      <c r="C26" s="14" t="s">
        <v>299</v>
      </c>
      <c r="E26" s="14" t="s">
        <v>216</v>
      </c>
      <c r="H26" s="6">
        <v>98</v>
      </c>
      <c r="M26" t="s">
        <v>29</v>
      </c>
      <c r="N26" s="14" t="s">
        <v>216</v>
      </c>
      <c r="AC26" s="14" t="s">
        <v>216</v>
      </c>
    </row>
    <row r="27" spans="1:29" x14ac:dyDescent="0.3">
      <c r="A27" t="s">
        <v>233</v>
      </c>
      <c r="B27" t="s">
        <v>150</v>
      </c>
      <c r="C27" s="14" t="s">
        <v>299</v>
      </c>
      <c r="E27" s="14" t="s">
        <v>216</v>
      </c>
      <c r="H27" s="6">
        <v>36</v>
      </c>
      <c r="M27" t="s">
        <v>29</v>
      </c>
      <c r="N27" s="14" t="s">
        <v>216</v>
      </c>
      <c r="AC27" s="14" t="s">
        <v>216</v>
      </c>
    </row>
    <row r="28" spans="1:29" x14ac:dyDescent="0.3">
      <c r="A28" t="s">
        <v>234</v>
      </c>
      <c r="B28" t="s">
        <v>151</v>
      </c>
      <c r="C28" s="14" t="s">
        <v>299</v>
      </c>
      <c r="E28" s="14" t="s">
        <v>216</v>
      </c>
      <c r="H28" s="6">
        <v>4</v>
      </c>
      <c r="M28" t="s">
        <v>29</v>
      </c>
      <c r="N28" s="14" t="s">
        <v>216</v>
      </c>
      <c r="AC28" s="14" t="s">
        <v>216</v>
      </c>
    </row>
    <row r="29" spans="1:29" x14ac:dyDescent="0.3">
      <c r="A29" t="s">
        <v>235</v>
      </c>
      <c r="B29" t="s">
        <v>152</v>
      </c>
      <c r="C29" s="14" t="s">
        <v>299</v>
      </c>
      <c r="E29" s="14" t="s">
        <v>216</v>
      </c>
      <c r="H29" s="6">
        <v>9.6199999999999992</v>
      </c>
      <c r="M29" t="s">
        <v>29</v>
      </c>
      <c r="N29" s="14" t="s">
        <v>216</v>
      </c>
      <c r="AC29" s="14" t="s">
        <v>216</v>
      </c>
    </row>
    <row r="30" spans="1:29" x14ac:dyDescent="0.3">
      <c r="A30" t="s">
        <v>425</v>
      </c>
      <c r="B30" t="s">
        <v>153</v>
      </c>
      <c r="C30" s="14" t="s">
        <v>300</v>
      </c>
      <c r="E30" s="14" t="s">
        <v>216</v>
      </c>
      <c r="H30" s="6">
        <v>4</v>
      </c>
      <c r="M30" t="s">
        <v>29</v>
      </c>
      <c r="N30" s="14" t="s">
        <v>216</v>
      </c>
      <c r="AC30" s="14" t="s">
        <v>216</v>
      </c>
    </row>
    <row r="31" spans="1:29" x14ac:dyDescent="0.3">
      <c r="A31" t="s">
        <v>236</v>
      </c>
      <c r="B31" t="s">
        <v>154</v>
      </c>
      <c r="C31" s="14" t="s">
        <v>300</v>
      </c>
      <c r="E31" s="14" t="s">
        <v>216</v>
      </c>
      <c r="H31" s="6">
        <v>7</v>
      </c>
      <c r="M31" t="s">
        <v>29</v>
      </c>
      <c r="N31" s="14" t="s">
        <v>216</v>
      </c>
      <c r="AC31" s="14" t="s">
        <v>216</v>
      </c>
    </row>
    <row r="32" spans="1:29" x14ac:dyDescent="0.3">
      <c r="A32" t="s">
        <v>237</v>
      </c>
      <c r="B32" t="s">
        <v>155</v>
      </c>
      <c r="C32" s="14" t="s">
        <v>300</v>
      </c>
      <c r="E32" s="14" t="s">
        <v>216</v>
      </c>
      <c r="H32" s="6">
        <v>29</v>
      </c>
      <c r="M32" t="s">
        <v>29</v>
      </c>
      <c r="N32" s="14" t="s">
        <v>216</v>
      </c>
      <c r="AC32" s="14" t="s">
        <v>216</v>
      </c>
    </row>
    <row r="33" spans="1:29" x14ac:dyDescent="0.3">
      <c r="A33" t="s">
        <v>238</v>
      </c>
      <c r="B33" t="s">
        <v>156</v>
      </c>
      <c r="C33" s="14" t="s">
        <v>300</v>
      </c>
      <c r="E33" s="14" t="s">
        <v>216</v>
      </c>
      <c r="H33" s="6">
        <v>6</v>
      </c>
      <c r="M33" t="s">
        <v>29</v>
      </c>
      <c r="N33" s="14" t="s">
        <v>216</v>
      </c>
      <c r="AC33" s="14" t="s">
        <v>216</v>
      </c>
    </row>
    <row r="34" spans="1:29" x14ac:dyDescent="0.3">
      <c r="A34" t="s">
        <v>239</v>
      </c>
      <c r="B34" t="s">
        <v>157</v>
      </c>
      <c r="C34" s="14" t="s">
        <v>300</v>
      </c>
      <c r="E34" s="14" t="s">
        <v>216</v>
      </c>
      <c r="H34" s="6">
        <v>8</v>
      </c>
      <c r="M34" t="s">
        <v>29</v>
      </c>
      <c r="N34" s="14" t="s">
        <v>216</v>
      </c>
      <c r="AC34" s="14" t="s">
        <v>216</v>
      </c>
    </row>
    <row r="35" spans="1:29" x14ac:dyDescent="0.3">
      <c r="A35" t="s">
        <v>240</v>
      </c>
      <c r="B35" t="s">
        <v>158</v>
      </c>
      <c r="C35" s="14" t="s">
        <v>299</v>
      </c>
      <c r="E35" s="14" t="s">
        <v>216</v>
      </c>
      <c r="H35" s="6">
        <v>130</v>
      </c>
      <c r="M35" t="s">
        <v>29</v>
      </c>
      <c r="N35" s="14" t="s">
        <v>216</v>
      </c>
      <c r="AC35" s="14" t="s">
        <v>216</v>
      </c>
    </row>
    <row r="36" spans="1:29" x14ac:dyDescent="0.3">
      <c r="A36" t="s">
        <v>241</v>
      </c>
      <c r="B36" t="s">
        <v>159</v>
      </c>
      <c r="C36" s="14" t="s">
        <v>299</v>
      </c>
      <c r="E36" s="14" t="s">
        <v>216</v>
      </c>
      <c r="H36" s="6">
        <v>12</v>
      </c>
      <c r="M36" t="s">
        <v>29</v>
      </c>
      <c r="N36" s="14" t="s">
        <v>216</v>
      </c>
      <c r="AC36" s="14" t="s">
        <v>216</v>
      </c>
    </row>
    <row r="37" spans="1:29" x14ac:dyDescent="0.3">
      <c r="A37" t="s">
        <v>242</v>
      </c>
      <c r="B37" t="s">
        <v>160</v>
      </c>
      <c r="C37" s="14" t="s">
        <v>299</v>
      </c>
      <c r="E37" s="14" t="s">
        <v>216</v>
      </c>
      <c r="H37" s="6">
        <v>10</v>
      </c>
      <c r="M37" t="s">
        <v>29</v>
      </c>
      <c r="N37" s="14" t="s">
        <v>216</v>
      </c>
      <c r="AC37" s="14" t="s">
        <v>216</v>
      </c>
    </row>
    <row r="38" spans="1:29" x14ac:dyDescent="0.3">
      <c r="A38" t="s">
        <v>243</v>
      </c>
      <c r="B38" t="s">
        <v>161</v>
      </c>
      <c r="C38" s="14" t="s">
        <v>299</v>
      </c>
      <c r="E38" s="14" t="s">
        <v>216</v>
      </c>
      <c r="H38" s="6">
        <v>10</v>
      </c>
      <c r="M38" t="s">
        <v>29</v>
      </c>
      <c r="N38" s="14" t="s">
        <v>216</v>
      </c>
      <c r="AC38" s="14" t="s">
        <v>216</v>
      </c>
    </row>
    <row r="39" spans="1:29" x14ac:dyDescent="0.3">
      <c r="A39" t="s">
        <v>244</v>
      </c>
      <c r="B39" t="s">
        <v>162</v>
      </c>
      <c r="C39" s="14" t="s">
        <v>299</v>
      </c>
      <c r="E39" s="14" t="s">
        <v>216</v>
      </c>
      <c r="H39" s="6">
        <v>24</v>
      </c>
      <c r="M39" t="s">
        <v>29</v>
      </c>
      <c r="N39" s="14" t="s">
        <v>216</v>
      </c>
      <c r="AC39" s="14" t="s">
        <v>216</v>
      </c>
    </row>
    <row r="40" spans="1:29" x14ac:dyDescent="0.3">
      <c r="A40" t="s">
        <v>245</v>
      </c>
      <c r="B40" t="s">
        <v>163</v>
      </c>
      <c r="C40" s="14" t="s">
        <v>300</v>
      </c>
      <c r="E40" s="14" t="s">
        <v>216</v>
      </c>
      <c r="H40" s="6">
        <v>45</v>
      </c>
      <c r="M40" t="s">
        <v>29</v>
      </c>
      <c r="N40" s="14" t="s">
        <v>216</v>
      </c>
      <c r="AC40" s="14" t="s">
        <v>216</v>
      </c>
    </row>
    <row r="41" spans="1:29" x14ac:dyDescent="0.3">
      <c r="A41" t="s">
        <v>246</v>
      </c>
      <c r="B41" t="s">
        <v>164</v>
      </c>
      <c r="C41" s="14" t="s">
        <v>299</v>
      </c>
      <c r="E41" s="14" t="s">
        <v>216</v>
      </c>
      <c r="H41" s="6">
        <v>19</v>
      </c>
      <c r="M41" t="s">
        <v>29</v>
      </c>
      <c r="N41" s="14" t="s">
        <v>216</v>
      </c>
      <c r="AC41" s="14" t="s">
        <v>216</v>
      </c>
    </row>
    <row r="42" spans="1:29" x14ac:dyDescent="0.3">
      <c r="A42" t="s">
        <v>247</v>
      </c>
      <c r="B42" t="s">
        <v>165</v>
      </c>
      <c r="C42" s="14" t="s">
        <v>299</v>
      </c>
      <c r="E42" s="14" t="s">
        <v>216</v>
      </c>
      <c r="H42" s="6">
        <v>1.5</v>
      </c>
      <c r="M42" t="s">
        <v>29</v>
      </c>
      <c r="N42" s="14" t="s">
        <v>216</v>
      </c>
      <c r="AC42" s="14" t="s">
        <v>216</v>
      </c>
    </row>
    <row r="43" spans="1:29" x14ac:dyDescent="0.3">
      <c r="A43" t="s">
        <v>248</v>
      </c>
      <c r="B43" t="s">
        <v>166</v>
      </c>
      <c r="C43" s="14" t="s">
        <v>299</v>
      </c>
      <c r="E43" s="14" t="s">
        <v>216</v>
      </c>
      <c r="H43" s="6">
        <v>120</v>
      </c>
      <c r="M43" t="s">
        <v>29</v>
      </c>
      <c r="N43" s="14" t="s">
        <v>216</v>
      </c>
      <c r="AC43" s="14" t="s">
        <v>216</v>
      </c>
    </row>
    <row r="44" spans="1:29" x14ac:dyDescent="0.3">
      <c r="A44" t="s">
        <v>249</v>
      </c>
      <c r="B44" t="s">
        <v>167</v>
      </c>
      <c r="C44" s="14" t="s">
        <v>299</v>
      </c>
      <c r="E44" s="14" t="s">
        <v>216</v>
      </c>
      <c r="H44" s="6">
        <v>8.4</v>
      </c>
      <c r="M44" t="s">
        <v>29</v>
      </c>
      <c r="N44" s="14" t="s">
        <v>216</v>
      </c>
      <c r="AC44" s="14" t="s">
        <v>216</v>
      </c>
    </row>
    <row r="45" spans="1:29" x14ac:dyDescent="0.3">
      <c r="A45" t="s">
        <v>250</v>
      </c>
      <c r="B45" t="s">
        <v>168</v>
      </c>
      <c r="C45" s="14" t="s">
        <v>299</v>
      </c>
      <c r="E45" s="14" t="s">
        <v>216</v>
      </c>
      <c r="H45" s="6">
        <v>91</v>
      </c>
      <c r="M45" t="s">
        <v>29</v>
      </c>
      <c r="N45" s="14" t="s">
        <v>216</v>
      </c>
      <c r="AC45" s="14" t="s">
        <v>216</v>
      </c>
    </row>
    <row r="46" spans="1:29" x14ac:dyDescent="0.3">
      <c r="A46" t="s">
        <v>251</v>
      </c>
      <c r="B46" t="s">
        <v>169</v>
      </c>
      <c r="C46" s="14" t="s">
        <v>299</v>
      </c>
      <c r="E46" s="14" t="s">
        <v>216</v>
      </c>
      <c r="H46" s="6">
        <v>26</v>
      </c>
      <c r="M46" t="s">
        <v>29</v>
      </c>
      <c r="N46" s="14" t="s">
        <v>216</v>
      </c>
      <c r="AC46" s="14" t="s">
        <v>216</v>
      </c>
    </row>
    <row r="47" spans="1:29" x14ac:dyDescent="0.3">
      <c r="A47" t="s">
        <v>252</v>
      </c>
      <c r="B47" t="s">
        <v>402</v>
      </c>
      <c r="C47" s="14" t="s">
        <v>299</v>
      </c>
      <c r="E47" s="14" t="s">
        <v>216</v>
      </c>
      <c r="H47" s="6">
        <v>49.8</v>
      </c>
      <c r="M47" t="s">
        <v>29</v>
      </c>
      <c r="N47" s="14" t="s">
        <v>216</v>
      </c>
      <c r="AC47" s="14" t="s">
        <v>216</v>
      </c>
    </row>
    <row r="48" spans="1:29" x14ac:dyDescent="0.3">
      <c r="A48" t="s">
        <v>253</v>
      </c>
      <c r="B48" t="s">
        <v>170</v>
      </c>
      <c r="C48" s="14" t="s">
        <v>299</v>
      </c>
      <c r="E48" s="14" t="s">
        <v>216</v>
      </c>
      <c r="H48" s="6">
        <v>10</v>
      </c>
      <c r="M48" t="s">
        <v>29</v>
      </c>
      <c r="N48" s="14" t="s">
        <v>216</v>
      </c>
      <c r="AC48" s="14" t="s">
        <v>216</v>
      </c>
    </row>
    <row r="49" spans="1:29" x14ac:dyDescent="0.3">
      <c r="A49" t="s">
        <v>254</v>
      </c>
      <c r="B49" t="s">
        <v>171</v>
      </c>
      <c r="C49" s="14" t="s">
        <v>301</v>
      </c>
      <c r="E49" s="14" t="s">
        <v>216</v>
      </c>
      <c r="H49" s="6">
        <v>7</v>
      </c>
      <c r="M49" t="s">
        <v>29</v>
      </c>
      <c r="N49" s="14" t="s">
        <v>216</v>
      </c>
      <c r="AC49" s="14" t="s">
        <v>216</v>
      </c>
    </row>
    <row r="50" spans="1:29" x14ac:dyDescent="0.3">
      <c r="A50" t="s">
        <v>255</v>
      </c>
      <c r="B50" t="s">
        <v>172</v>
      </c>
      <c r="C50" s="14" t="s">
        <v>299</v>
      </c>
      <c r="E50" s="14" t="s">
        <v>216</v>
      </c>
      <c r="H50" s="6">
        <v>24</v>
      </c>
      <c r="M50" t="s">
        <v>29</v>
      </c>
      <c r="N50" s="14" t="s">
        <v>216</v>
      </c>
      <c r="AC50" s="14" t="s">
        <v>216</v>
      </c>
    </row>
    <row r="51" spans="1:29" x14ac:dyDescent="0.3">
      <c r="A51" t="s">
        <v>256</v>
      </c>
      <c r="B51" t="s">
        <v>173</v>
      </c>
      <c r="C51" s="14" t="s">
        <v>306</v>
      </c>
      <c r="E51" s="14" t="s">
        <v>216</v>
      </c>
      <c r="H51" s="6">
        <v>5</v>
      </c>
      <c r="M51" t="s">
        <v>29</v>
      </c>
      <c r="N51" s="14" t="s">
        <v>216</v>
      </c>
      <c r="AC51" s="14" t="s">
        <v>216</v>
      </c>
    </row>
    <row r="52" spans="1:29" x14ac:dyDescent="0.3">
      <c r="A52" t="s">
        <v>257</v>
      </c>
      <c r="B52" t="s">
        <v>174</v>
      </c>
      <c r="C52" s="14" t="s">
        <v>299</v>
      </c>
      <c r="E52" s="14" t="s">
        <v>216</v>
      </c>
      <c r="H52" s="6">
        <v>45</v>
      </c>
      <c r="M52" t="s">
        <v>29</v>
      </c>
      <c r="N52" s="14" t="s">
        <v>216</v>
      </c>
      <c r="AC52" s="14" t="s">
        <v>216</v>
      </c>
    </row>
    <row r="53" spans="1:29" x14ac:dyDescent="0.3">
      <c r="A53" t="s">
        <v>258</v>
      </c>
      <c r="B53" t="s">
        <v>175</v>
      </c>
      <c r="C53" s="14" t="s">
        <v>299</v>
      </c>
      <c r="E53" s="14" t="s">
        <v>216</v>
      </c>
      <c r="H53" s="6">
        <v>14</v>
      </c>
      <c r="M53" t="s">
        <v>29</v>
      </c>
      <c r="N53" s="14" t="s">
        <v>216</v>
      </c>
      <c r="AC53" s="14" t="s">
        <v>216</v>
      </c>
    </row>
    <row r="54" spans="1:29" x14ac:dyDescent="0.3">
      <c r="A54" t="s">
        <v>259</v>
      </c>
      <c r="B54" t="s">
        <v>176</v>
      </c>
      <c r="C54" s="14" t="s">
        <v>299</v>
      </c>
      <c r="E54" s="14" t="s">
        <v>216</v>
      </c>
      <c r="H54" s="6">
        <v>161</v>
      </c>
      <c r="M54" t="s">
        <v>29</v>
      </c>
      <c r="N54" s="14" t="s">
        <v>216</v>
      </c>
      <c r="AC54" s="14" t="s">
        <v>216</v>
      </c>
    </row>
    <row r="55" spans="1:29" x14ac:dyDescent="0.3">
      <c r="A55" t="s">
        <v>260</v>
      </c>
      <c r="B55" t="s">
        <v>415</v>
      </c>
      <c r="C55" s="14" t="s">
        <v>299</v>
      </c>
      <c r="E55" s="14" t="s">
        <v>216</v>
      </c>
      <c r="H55" s="6">
        <v>109.956</v>
      </c>
      <c r="M55" t="s">
        <v>29</v>
      </c>
      <c r="N55" s="14" t="s">
        <v>216</v>
      </c>
      <c r="AC55" s="14" t="s">
        <v>216</v>
      </c>
    </row>
    <row r="56" spans="1:29" x14ac:dyDescent="0.3">
      <c r="A56" t="s">
        <v>261</v>
      </c>
      <c r="B56" t="s">
        <v>177</v>
      </c>
      <c r="C56" s="14" t="s">
        <v>299</v>
      </c>
      <c r="E56" s="14" t="s">
        <v>216</v>
      </c>
      <c r="H56" s="6">
        <v>87</v>
      </c>
      <c r="M56" t="s">
        <v>29</v>
      </c>
      <c r="N56" s="14" t="s">
        <v>216</v>
      </c>
      <c r="AC56" s="14" t="s">
        <v>216</v>
      </c>
    </row>
    <row r="57" spans="1:29" x14ac:dyDescent="0.3">
      <c r="A57" t="s">
        <v>262</v>
      </c>
      <c r="B57" t="s">
        <v>178</v>
      </c>
      <c r="C57" s="14" t="s">
        <v>299</v>
      </c>
      <c r="E57" s="14" t="s">
        <v>216</v>
      </c>
      <c r="H57" s="6">
        <v>86.87</v>
      </c>
      <c r="M57" t="s">
        <v>29</v>
      </c>
      <c r="N57" s="14" t="s">
        <v>216</v>
      </c>
      <c r="AC57" s="14" t="s">
        <v>216</v>
      </c>
    </row>
    <row r="58" spans="1:29" x14ac:dyDescent="0.3">
      <c r="A58" t="s">
        <v>263</v>
      </c>
      <c r="B58" t="s">
        <v>179</v>
      </c>
      <c r="C58" s="14" t="s">
        <v>300</v>
      </c>
      <c r="E58" s="14" t="s">
        <v>216</v>
      </c>
      <c r="H58" s="6">
        <v>71</v>
      </c>
      <c r="M58" t="s">
        <v>29</v>
      </c>
      <c r="N58" s="14" t="s">
        <v>216</v>
      </c>
      <c r="AC58" s="14" t="s">
        <v>216</v>
      </c>
    </row>
    <row r="59" spans="1:29" x14ac:dyDescent="0.3">
      <c r="A59" t="s">
        <v>264</v>
      </c>
      <c r="B59" t="s">
        <v>180</v>
      </c>
      <c r="C59" s="14" t="s">
        <v>299</v>
      </c>
      <c r="E59" s="14" t="s">
        <v>216</v>
      </c>
      <c r="H59" s="6">
        <v>6</v>
      </c>
      <c r="M59" t="s">
        <v>29</v>
      </c>
      <c r="N59" s="14" t="s">
        <v>216</v>
      </c>
      <c r="AC59" s="14" t="s">
        <v>216</v>
      </c>
    </row>
    <row r="60" spans="1:29" x14ac:dyDescent="0.3">
      <c r="A60" t="s">
        <v>265</v>
      </c>
      <c r="B60" t="s">
        <v>181</v>
      </c>
      <c r="C60" s="14" t="s">
        <v>300</v>
      </c>
      <c r="E60" s="14" t="s">
        <v>216</v>
      </c>
      <c r="H60" s="6">
        <v>5.7229999999999999</v>
      </c>
      <c r="M60" t="s">
        <v>29</v>
      </c>
      <c r="N60" s="14" t="s">
        <v>216</v>
      </c>
      <c r="AC60" s="14" t="s">
        <v>216</v>
      </c>
    </row>
    <row r="61" spans="1:29" x14ac:dyDescent="0.3">
      <c r="A61" t="s">
        <v>266</v>
      </c>
      <c r="B61" t="s">
        <v>182</v>
      </c>
      <c r="C61" s="14" t="s">
        <v>300</v>
      </c>
      <c r="E61" s="14" t="s">
        <v>216</v>
      </c>
      <c r="H61" s="6">
        <v>18.5</v>
      </c>
      <c r="M61" t="s">
        <v>29</v>
      </c>
      <c r="N61" s="14" t="s">
        <v>216</v>
      </c>
      <c r="AC61" s="14" t="s">
        <v>216</v>
      </c>
    </row>
    <row r="62" spans="1:29" x14ac:dyDescent="0.3">
      <c r="A62" t="s">
        <v>267</v>
      </c>
      <c r="B62" t="s">
        <v>183</v>
      </c>
      <c r="C62" s="14" t="s">
        <v>300</v>
      </c>
      <c r="E62" s="14" t="s">
        <v>216</v>
      </c>
      <c r="H62" s="6">
        <v>33</v>
      </c>
      <c r="M62" t="s">
        <v>29</v>
      </c>
      <c r="N62" s="14" t="s">
        <v>216</v>
      </c>
      <c r="AC62" s="14" t="s">
        <v>216</v>
      </c>
    </row>
    <row r="63" spans="1:29" x14ac:dyDescent="0.3">
      <c r="A63" t="s">
        <v>268</v>
      </c>
      <c r="B63" t="s">
        <v>184</v>
      </c>
      <c r="C63" s="14" t="s">
        <v>299</v>
      </c>
      <c r="E63" s="14" t="s">
        <v>216</v>
      </c>
      <c r="H63" s="6">
        <v>15.98</v>
      </c>
      <c r="M63" t="s">
        <v>29</v>
      </c>
      <c r="N63" s="14" t="s">
        <v>216</v>
      </c>
      <c r="AC63" s="14" t="s">
        <v>216</v>
      </c>
    </row>
    <row r="64" spans="1:29" x14ac:dyDescent="0.3">
      <c r="A64" t="s">
        <v>269</v>
      </c>
      <c r="B64" t="s">
        <v>185</v>
      </c>
      <c r="C64" s="14" t="s">
        <v>299</v>
      </c>
      <c r="E64" s="14" t="s">
        <v>216</v>
      </c>
      <c r="H64" s="6">
        <v>72.5</v>
      </c>
      <c r="M64" t="s">
        <v>29</v>
      </c>
      <c r="N64" s="14" t="s">
        <v>216</v>
      </c>
      <c r="AC64" s="14" t="s">
        <v>216</v>
      </c>
    </row>
    <row r="65" spans="1:29" x14ac:dyDescent="0.3">
      <c r="A65" t="s">
        <v>270</v>
      </c>
      <c r="B65" t="s">
        <v>186</v>
      </c>
      <c r="C65" s="14" t="s">
        <v>299</v>
      </c>
      <c r="E65" s="14" t="s">
        <v>216</v>
      </c>
      <c r="H65" s="6">
        <v>125.8</v>
      </c>
      <c r="M65" t="s">
        <v>29</v>
      </c>
      <c r="N65" s="14" t="s">
        <v>216</v>
      </c>
      <c r="AC65" s="14" t="s">
        <v>216</v>
      </c>
    </row>
    <row r="66" spans="1:29" x14ac:dyDescent="0.3">
      <c r="A66" t="s">
        <v>271</v>
      </c>
      <c r="B66" t="s">
        <v>187</v>
      </c>
      <c r="C66" s="14" t="s">
        <v>300</v>
      </c>
      <c r="E66" s="14" t="s">
        <v>216</v>
      </c>
      <c r="H66" s="6">
        <v>26.9</v>
      </c>
      <c r="M66" t="s">
        <v>29</v>
      </c>
      <c r="N66" s="14" t="s">
        <v>216</v>
      </c>
      <c r="AC66" s="14" t="s">
        <v>216</v>
      </c>
    </row>
    <row r="67" spans="1:29" x14ac:dyDescent="0.3">
      <c r="A67" t="s">
        <v>272</v>
      </c>
      <c r="B67" t="s">
        <v>188</v>
      </c>
      <c r="C67" s="14" t="s">
        <v>302</v>
      </c>
      <c r="E67" s="14" t="s">
        <v>217</v>
      </c>
      <c r="H67" s="6">
        <v>16</v>
      </c>
      <c r="M67" t="s">
        <v>29</v>
      </c>
      <c r="N67" s="14" t="s">
        <v>217</v>
      </c>
      <c r="AC67" s="14" t="s">
        <v>217</v>
      </c>
    </row>
    <row r="68" spans="1:29" x14ac:dyDescent="0.3">
      <c r="A68" t="s">
        <v>273</v>
      </c>
      <c r="B68" t="s">
        <v>189</v>
      </c>
      <c r="C68" s="14" t="s">
        <v>303</v>
      </c>
      <c r="E68" s="14" t="s">
        <v>40</v>
      </c>
      <c r="H68" s="6">
        <v>1147</v>
      </c>
      <c r="M68" t="s">
        <v>29</v>
      </c>
      <c r="N68" s="14" t="s">
        <v>40</v>
      </c>
      <c r="AC68" s="14" t="s">
        <v>40</v>
      </c>
    </row>
    <row r="69" spans="1:29" x14ac:dyDescent="0.3">
      <c r="A69" t="s">
        <v>284</v>
      </c>
      <c r="B69" t="s">
        <v>190</v>
      </c>
      <c r="C69" s="14" t="s">
        <v>303</v>
      </c>
      <c r="E69" s="14" t="s">
        <v>40</v>
      </c>
      <c r="H69" s="6">
        <v>1000</v>
      </c>
      <c r="M69" t="s">
        <v>29</v>
      </c>
      <c r="N69" s="14" t="s">
        <v>40</v>
      </c>
      <c r="AC69" s="14" t="s">
        <v>40</v>
      </c>
    </row>
    <row r="70" spans="1:29" x14ac:dyDescent="0.3">
      <c r="A70" t="s">
        <v>275</v>
      </c>
      <c r="B70" t="s">
        <v>191</v>
      </c>
      <c r="C70" s="14" t="s">
        <v>303</v>
      </c>
      <c r="E70" s="14" t="s">
        <v>40</v>
      </c>
      <c r="H70" s="6">
        <v>1580</v>
      </c>
      <c r="M70" t="s">
        <v>29</v>
      </c>
      <c r="N70" s="14" t="s">
        <v>40</v>
      </c>
      <c r="AC70" s="14" t="s">
        <v>40</v>
      </c>
    </row>
    <row r="71" spans="1:29" x14ac:dyDescent="0.3">
      <c r="A71" t="s">
        <v>276</v>
      </c>
      <c r="B71" t="s">
        <v>192</v>
      </c>
      <c r="C71" s="14" t="s">
        <v>303</v>
      </c>
      <c r="E71" s="14" t="s">
        <v>40</v>
      </c>
      <c r="H71" s="6">
        <v>1382</v>
      </c>
      <c r="M71" t="s">
        <v>29</v>
      </c>
      <c r="N71" s="14" t="s">
        <v>40</v>
      </c>
      <c r="AC71" s="14" t="s">
        <v>40</v>
      </c>
    </row>
    <row r="72" spans="1:29" x14ac:dyDescent="0.3">
      <c r="A72" t="s">
        <v>277</v>
      </c>
      <c r="B72" t="s">
        <v>193</v>
      </c>
      <c r="C72" s="14" t="s">
        <v>303</v>
      </c>
      <c r="E72" s="14" t="s">
        <v>40</v>
      </c>
      <c r="H72" s="6">
        <v>750</v>
      </c>
      <c r="M72" t="s">
        <v>29</v>
      </c>
      <c r="N72" s="14" t="s">
        <v>40</v>
      </c>
      <c r="AC72" s="14" t="s">
        <v>40</v>
      </c>
    </row>
    <row r="73" spans="1:29" x14ac:dyDescent="0.3">
      <c r="A73" t="s">
        <v>278</v>
      </c>
      <c r="B73" t="s">
        <v>194</v>
      </c>
      <c r="C73" s="14" t="s">
        <v>303</v>
      </c>
      <c r="E73" s="14" t="s">
        <v>40</v>
      </c>
      <c r="H73" s="6">
        <v>400</v>
      </c>
      <c r="M73" t="s">
        <v>29</v>
      </c>
      <c r="N73" s="14" t="s">
        <v>40</v>
      </c>
      <c r="AC73" s="14" t="s">
        <v>40</v>
      </c>
    </row>
    <row r="74" spans="1:29" x14ac:dyDescent="0.3">
      <c r="A74" t="s">
        <v>279</v>
      </c>
      <c r="B74" t="s">
        <v>195</v>
      </c>
      <c r="C74" s="14" t="s">
        <v>301</v>
      </c>
      <c r="E74" s="14" t="s">
        <v>40</v>
      </c>
      <c r="H74" s="6">
        <v>1580</v>
      </c>
      <c r="M74" t="s">
        <v>29</v>
      </c>
      <c r="N74" s="14" t="s">
        <v>40</v>
      </c>
      <c r="P74" s="14" t="s">
        <v>274</v>
      </c>
      <c r="AC74" s="14" t="s">
        <v>40</v>
      </c>
    </row>
    <row r="75" spans="1:29" x14ac:dyDescent="0.3">
      <c r="A75" t="s">
        <v>280</v>
      </c>
      <c r="B75" t="s">
        <v>196</v>
      </c>
      <c r="C75" s="14" t="s">
        <v>301</v>
      </c>
      <c r="E75" s="14" t="s">
        <v>40</v>
      </c>
      <c r="H75" s="6">
        <v>1580</v>
      </c>
      <c r="M75" t="s">
        <v>29</v>
      </c>
      <c r="N75" s="14" t="s">
        <v>40</v>
      </c>
      <c r="P75" s="14" t="s">
        <v>274</v>
      </c>
      <c r="AC75" s="14" t="s">
        <v>40</v>
      </c>
    </row>
    <row r="76" spans="1:29" x14ac:dyDescent="0.3">
      <c r="A76" t="s">
        <v>281</v>
      </c>
      <c r="B76" t="s">
        <v>197</v>
      </c>
      <c r="C76" s="14" t="s">
        <v>301</v>
      </c>
      <c r="E76" s="14" t="s">
        <v>40</v>
      </c>
      <c r="H76" s="6">
        <v>104000</v>
      </c>
      <c r="M76" t="s">
        <v>29</v>
      </c>
      <c r="N76" s="14" t="s">
        <v>40</v>
      </c>
      <c r="P76" s="14" t="s">
        <v>274</v>
      </c>
      <c r="AC76" s="14" t="s">
        <v>40</v>
      </c>
    </row>
    <row r="77" spans="1:29" x14ac:dyDescent="0.3">
      <c r="A77" t="s">
        <v>282</v>
      </c>
      <c r="B77" t="s">
        <v>198</v>
      </c>
      <c r="C77" s="14" t="s">
        <v>301</v>
      </c>
      <c r="E77" s="14" t="s">
        <v>40</v>
      </c>
      <c r="H77" s="6">
        <v>1580</v>
      </c>
      <c r="M77" t="s">
        <v>29</v>
      </c>
      <c r="N77" s="14" t="s">
        <v>40</v>
      </c>
      <c r="P77" s="14" t="s">
        <v>274</v>
      </c>
      <c r="AC77" s="14" t="s">
        <v>40</v>
      </c>
    </row>
    <row r="78" spans="1:29" x14ac:dyDescent="0.3">
      <c r="A78" t="s">
        <v>283</v>
      </c>
      <c r="B78" t="s">
        <v>199</v>
      </c>
      <c r="C78" s="14" t="s">
        <v>301</v>
      </c>
      <c r="E78" s="14" t="s">
        <v>40</v>
      </c>
      <c r="H78" s="6">
        <v>1580</v>
      </c>
      <c r="M78" t="s">
        <v>29</v>
      </c>
      <c r="N78" s="14" t="s">
        <v>40</v>
      </c>
      <c r="P78" s="14" t="s">
        <v>274</v>
      </c>
      <c r="AC78" s="14" t="s">
        <v>40</v>
      </c>
    </row>
    <row r="79" spans="1:29" x14ac:dyDescent="0.3">
      <c r="A79" t="s">
        <v>284</v>
      </c>
      <c r="B79" t="s">
        <v>200</v>
      </c>
      <c r="C79" s="14" t="s">
        <v>299</v>
      </c>
      <c r="E79" s="14" t="s">
        <v>217</v>
      </c>
      <c r="H79" s="6">
        <v>70</v>
      </c>
      <c r="M79" t="s">
        <v>29</v>
      </c>
      <c r="N79" s="14" t="s">
        <v>217</v>
      </c>
      <c r="P79" s="14" t="s">
        <v>75</v>
      </c>
      <c r="AC79" s="14" t="s">
        <v>217</v>
      </c>
    </row>
    <row r="80" spans="1:29" x14ac:dyDescent="0.3">
      <c r="A80" t="s">
        <v>285</v>
      </c>
      <c r="B80" t="s">
        <v>304</v>
      </c>
      <c r="C80" s="14" t="s">
        <v>302</v>
      </c>
      <c r="E80" s="14" t="s">
        <v>216</v>
      </c>
      <c r="H80" s="6">
        <v>9.9643999999999995</v>
      </c>
      <c r="M80" t="s">
        <v>29</v>
      </c>
      <c r="N80" s="14" t="s">
        <v>217</v>
      </c>
      <c r="AC80" s="14" t="s">
        <v>217</v>
      </c>
    </row>
    <row r="81" spans="1:29" x14ac:dyDescent="0.3">
      <c r="A81" t="s">
        <v>286</v>
      </c>
      <c r="B81" t="s">
        <v>201</v>
      </c>
      <c r="C81" s="14" t="s">
        <v>299</v>
      </c>
      <c r="E81" s="14" t="s">
        <v>217</v>
      </c>
      <c r="H81" s="6">
        <v>5</v>
      </c>
      <c r="M81" t="s">
        <v>29</v>
      </c>
      <c r="N81" s="14" t="s">
        <v>217</v>
      </c>
      <c r="AC81" s="14" t="s">
        <v>217</v>
      </c>
    </row>
    <row r="82" spans="1:29" x14ac:dyDescent="0.3">
      <c r="A82" t="s">
        <v>287</v>
      </c>
      <c r="B82" t="s">
        <v>202</v>
      </c>
      <c r="C82" s="14" t="s">
        <v>299</v>
      </c>
      <c r="E82" s="14" t="s">
        <v>217</v>
      </c>
      <c r="H82" s="6">
        <v>5</v>
      </c>
      <c r="M82" t="s">
        <v>29</v>
      </c>
      <c r="N82" s="14" t="s">
        <v>217</v>
      </c>
      <c r="AC82" s="14" t="s">
        <v>217</v>
      </c>
    </row>
    <row r="83" spans="1:29" x14ac:dyDescent="0.3">
      <c r="A83" t="s">
        <v>288</v>
      </c>
      <c r="B83" t="s">
        <v>203</v>
      </c>
      <c r="C83" s="14" t="s">
        <v>299</v>
      </c>
      <c r="E83" s="14" t="s">
        <v>216</v>
      </c>
      <c r="H83" s="6">
        <v>26</v>
      </c>
      <c r="M83" t="s">
        <v>29</v>
      </c>
      <c r="N83" s="14" t="s">
        <v>216</v>
      </c>
      <c r="AC83" s="14" t="s">
        <v>216</v>
      </c>
    </row>
    <row r="84" spans="1:29" x14ac:dyDescent="0.3">
      <c r="A84" t="s">
        <v>289</v>
      </c>
      <c r="B84" t="s">
        <v>204</v>
      </c>
      <c r="C84" s="14" t="s">
        <v>299</v>
      </c>
      <c r="E84" s="14" t="s">
        <v>216</v>
      </c>
      <c r="H84" s="6">
        <v>52</v>
      </c>
      <c r="M84" t="s">
        <v>29</v>
      </c>
      <c r="N84" s="14" t="s">
        <v>217</v>
      </c>
      <c r="AC84" s="14" t="s">
        <v>217</v>
      </c>
    </row>
    <row r="85" spans="1:29" x14ac:dyDescent="0.3">
      <c r="A85" t="s">
        <v>290</v>
      </c>
      <c r="B85" t="s">
        <v>205</v>
      </c>
      <c r="C85" s="14" t="s">
        <v>299</v>
      </c>
      <c r="E85" s="14" t="s">
        <v>216</v>
      </c>
      <c r="H85" s="6">
        <v>38</v>
      </c>
      <c r="M85" t="s">
        <v>29</v>
      </c>
      <c r="N85" s="14" t="s">
        <v>216</v>
      </c>
      <c r="AC85" s="14" t="s">
        <v>216</v>
      </c>
    </row>
    <row r="86" spans="1:29" x14ac:dyDescent="0.3">
      <c r="A86" t="s">
        <v>291</v>
      </c>
      <c r="B86" t="s">
        <v>206</v>
      </c>
      <c r="C86" s="14" t="s">
        <v>299</v>
      </c>
      <c r="E86" s="14" t="s">
        <v>216</v>
      </c>
      <c r="H86" s="6">
        <v>7</v>
      </c>
      <c r="M86" t="s">
        <v>29</v>
      </c>
      <c r="N86" s="14" t="s">
        <v>216</v>
      </c>
      <c r="AC86" s="14" t="s">
        <v>216</v>
      </c>
    </row>
    <row r="87" spans="1:29" x14ac:dyDescent="0.3">
      <c r="A87" t="s">
        <v>292</v>
      </c>
      <c r="B87" t="s">
        <v>207</v>
      </c>
      <c r="C87" s="14" t="s">
        <v>299</v>
      </c>
      <c r="E87" s="14" t="s">
        <v>216</v>
      </c>
      <c r="H87" s="6">
        <v>20</v>
      </c>
      <c r="M87" t="s">
        <v>29</v>
      </c>
      <c r="N87" s="14" t="s">
        <v>216</v>
      </c>
      <c r="AC87" s="14" t="s">
        <v>216</v>
      </c>
    </row>
    <row r="88" spans="1:29" x14ac:dyDescent="0.3">
      <c r="A88" t="s">
        <v>293</v>
      </c>
      <c r="B88" t="s">
        <v>208</v>
      </c>
      <c r="C88" s="14" t="s">
        <v>299</v>
      </c>
      <c r="E88" s="14" t="s">
        <v>216</v>
      </c>
      <c r="H88" s="6">
        <v>20</v>
      </c>
      <c r="M88" t="s">
        <v>29</v>
      </c>
      <c r="N88" s="14" t="s">
        <v>216</v>
      </c>
      <c r="AC88" s="14" t="s">
        <v>216</v>
      </c>
    </row>
    <row r="89" spans="1:29" x14ac:dyDescent="0.3">
      <c r="A89" t="s">
        <v>294</v>
      </c>
      <c r="B89" t="s">
        <v>209</v>
      </c>
      <c r="C89" s="14" t="s">
        <v>299</v>
      </c>
      <c r="E89" s="14" t="s">
        <v>216</v>
      </c>
      <c r="H89" s="6">
        <v>54</v>
      </c>
      <c r="M89" t="s">
        <v>29</v>
      </c>
      <c r="N89" s="14" t="s">
        <v>216</v>
      </c>
      <c r="AC89" s="14" t="s">
        <v>216</v>
      </c>
    </row>
    <row r="90" spans="1:29" x14ac:dyDescent="0.3">
      <c r="A90" t="s">
        <v>295</v>
      </c>
      <c r="B90" t="s">
        <v>210</v>
      </c>
      <c r="C90" s="14" t="s">
        <v>299</v>
      </c>
      <c r="E90" s="14" t="s">
        <v>216</v>
      </c>
      <c r="H90" s="6">
        <v>91</v>
      </c>
      <c r="M90" t="s">
        <v>29</v>
      </c>
      <c r="N90" s="14" t="s">
        <v>216</v>
      </c>
      <c r="AC90" s="14" t="s">
        <v>216</v>
      </c>
    </row>
    <row r="91" spans="1:29" x14ac:dyDescent="0.3">
      <c r="A91" t="s">
        <v>445</v>
      </c>
      <c r="B91" t="s">
        <v>211</v>
      </c>
      <c r="C91" s="14" t="s">
        <v>301</v>
      </c>
      <c r="E91" s="14" t="s">
        <v>40</v>
      </c>
      <c r="H91" s="6">
        <v>200</v>
      </c>
      <c r="M91" t="s">
        <v>29</v>
      </c>
      <c r="N91" s="14" t="s">
        <v>40</v>
      </c>
      <c r="AC91" s="14" t="s">
        <v>40</v>
      </c>
    </row>
    <row r="92" spans="1:29" x14ac:dyDescent="0.3">
      <c r="A92" t="s">
        <v>444</v>
      </c>
      <c r="B92" t="s">
        <v>212</v>
      </c>
      <c r="C92" s="14" t="s">
        <v>301</v>
      </c>
      <c r="E92" s="14" t="s">
        <v>40</v>
      </c>
      <c r="H92" s="6">
        <v>212</v>
      </c>
      <c r="M92" t="s">
        <v>29</v>
      </c>
      <c r="N92" s="14" t="s">
        <v>40</v>
      </c>
      <c r="P92" s="14" t="s">
        <v>274</v>
      </c>
      <c r="AC92" s="14" t="s">
        <v>40</v>
      </c>
    </row>
    <row r="93" spans="1:29" x14ac:dyDescent="0.3">
      <c r="A93" t="s">
        <v>471</v>
      </c>
      <c r="B93" t="s">
        <v>213</v>
      </c>
      <c r="C93" s="14" t="s">
        <v>301</v>
      </c>
      <c r="E93" s="14" t="s">
        <v>40</v>
      </c>
      <c r="H93" s="6">
        <v>3173</v>
      </c>
      <c r="M93" t="s">
        <v>29</v>
      </c>
      <c r="N93" s="14" t="s">
        <v>40</v>
      </c>
      <c r="P93" s="14" t="s">
        <v>274</v>
      </c>
      <c r="AC93" s="14" t="s">
        <v>40</v>
      </c>
    </row>
    <row r="94" spans="1:29" x14ac:dyDescent="0.3">
      <c r="A94" t="s">
        <v>472</v>
      </c>
      <c r="B94" t="s">
        <v>214</v>
      </c>
      <c r="C94" s="14" t="s">
        <v>306</v>
      </c>
      <c r="E94" s="14" t="s">
        <v>40</v>
      </c>
      <c r="H94" s="6">
        <v>3570</v>
      </c>
      <c r="M94" t="s">
        <v>29</v>
      </c>
      <c r="N94" s="14" t="s">
        <v>40</v>
      </c>
      <c r="P94" s="14" t="s">
        <v>274</v>
      </c>
      <c r="AC94" s="14" t="s">
        <v>40</v>
      </c>
    </row>
    <row r="95" spans="1:29" x14ac:dyDescent="0.3">
      <c r="A95" t="s">
        <v>452</v>
      </c>
      <c r="B95" t="s">
        <v>215</v>
      </c>
      <c r="C95" s="14" t="s">
        <v>301</v>
      </c>
      <c r="E95" s="14" t="s">
        <v>40</v>
      </c>
      <c r="H95" s="6">
        <v>38750</v>
      </c>
      <c r="M95" t="s">
        <v>29</v>
      </c>
      <c r="N95" s="14" t="s">
        <v>40</v>
      </c>
      <c r="P95" s="14" t="s">
        <v>274</v>
      </c>
      <c r="AC95" s="14" t="s">
        <v>40</v>
      </c>
    </row>
    <row r="96" spans="1:29" x14ac:dyDescent="0.3">
      <c r="A96" t="s">
        <v>322</v>
      </c>
      <c r="B96" t="s">
        <v>310</v>
      </c>
      <c r="C96" s="14" t="s">
        <v>301</v>
      </c>
      <c r="E96" s="14" t="s">
        <v>217</v>
      </c>
      <c r="H96" s="6">
        <v>0.1</v>
      </c>
      <c r="M96" t="s">
        <v>29</v>
      </c>
      <c r="N96" s="14" t="s">
        <v>217</v>
      </c>
      <c r="P96" s="14" t="s">
        <v>274</v>
      </c>
      <c r="AC96" s="14" t="s">
        <v>217</v>
      </c>
    </row>
    <row r="97" spans="1:29" x14ac:dyDescent="0.3">
      <c r="A97" t="s">
        <v>321</v>
      </c>
      <c r="B97" t="s">
        <v>323</v>
      </c>
      <c r="C97" s="14" t="s">
        <v>302</v>
      </c>
      <c r="E97" s="14" t="s">
        <v>217</v>
      </c>
      <c r="H97" s="6">
        <v>55</v>
      </c>
      <c r="M97" t="s">
        <v>29</v>
      </c>
      <c r="N97" s="14" t="s">
        <v>217</v>
      </c>
      <c r="P97" s="14" t="s">
        <v>305</v>
      </c>
      <c r="AC97" s="14" t="s">
        <v>217</v>
      </c>
    </row>
    <row r="98" spans="1:29" x14ac:dyDescent="0.3">
      <c r="A98" t="s">
        <v>559</v>
      </c>
      <c r="B98" t="s">
        <v>563</v>
      </c>
      <c r="C98" s="14" t="s">
        <v>301</v>
      </c>
      <c r="E98" s="14" t="s">
        <v>216</v>
      </c>
      <c r="H98" s="6">
        <v>22</v>
      </c>
      <c r="M98" t="s">
        <v>571</v>
      </c>
      <c r="N98" s="14" t="s">
        <v>216</v>
      </c>
      <c r="AC98" s="14" t="s">
        <v>216</v>
      </c>
    </row>
    <row r="99" spans="1:29" x14ac:dyDescent="0.3">
      <c r="A99" t="s">
        <v>560</v>
      </c>
      <c r="B99" t="s">
        <v>564</v>
      </c>
      <c r="C99" s="14" t="s">
        <v>301</v>
      </c>
      <c r="E99" s="14" t="s">
        <v>216</v>
      </c>
      <c r="H99" s="6">
        <v>42</v>
      </c>
      <c r="M99" t="s">
        <v>572</v>
      </c>
      <c r="N99" s="14" t="s">
        <v>216</v>
      </c>
      <c r="AC99" s="14" t="s">
        <v>216</v>
      </c>
    </row>
    <row r="100" spans="1:29" x14ac:dyDescent="0.3">
      <c r="A100" t="s">
        <v>561</v>
      </c>
      <c r="B100" t="s">
        <v>565</v>
      </c>
      <c r="C100" s="14" t="s">
        <v>301</v>
      </c>
      <c r="E100" s="14" t="s">
        <v>216</v>
      </c>
      <c r="H100" s="6">
        <v>22</v>
      </c>
      <c r="M100" t="s">
        <v>573</v>
      </c>
      <c r="N100" s="14" t="s">
        <v>216</v>
      </c>
      <c r="AC100" s="14" t="s">
        <v>216</v>
      </c>
    </row>
    <row r="101" spans="1:29" x14ac:dyDescent="0.3">
      <c r="A101" t="s">
        <v>562</v>
      </c>
      <c r="B101" t="s">
        <v>566</v>
      </c>
      <c r="C101" s="14" t="s">
        <v>301</v>
      </c>
      <c r="E101" s="14" t="s">
        <v>216</v>
      </c>
      <c r="H101" s="6">
        <v>41</v>
      </c>
      <c r="M101" t="s">
        <v>574</v>
      </c>
      <c r="N101" s="14" t="s">
        <v>216</v>
      </c>
      <c r="AC101" s="14" t="s">
        <v>216</v>
      </c>
    </row>
    <row r="102" spans="1:29" x14ac:dyDescent="0.3">
      <c r="A102" t="s">
        <v>568</v>
      </c>
      <c r="B102" t="s">
        <v>567</v>
      </c>
      <c r="C102" s="14" t="s">
        <v>301</v>
      </c>
      <c r="E102" s="14" t="s">
        <v>216</v>
      </c>
      <c r="H102" s="6">
        <v>15</v>
      </c>
      <c r="M102" t="s">
        <v>575</v>
      </c>
      <c r="N102" s="14" t="s">
        <v>216</v>
      </c>
      <c r="AC102" s="14" t="s">
        <v>216</v>
      </c>
    </row>
    <row r="103" spans="1:29" x14ac:dyDescent="0.3">
      <c r="A103" t="s">
        <v>569</v>
      </c>
      <c r="B103" t="s">
        <v>570</v>
      </c>
      <c r="C103" s="14" t="s">
        <v>301</v>
      </c>
      <c r="E103" s="14" t="s">
        <v>216</v>
      </c>
      <c r="H103" s="6">
        <v>21</v>
      </c>
      <c r="M103" t="s">
        <v>576</v>
      </c>
      <c r="N103" s="14" t="s">
        <v>216</v>
      </c>
      <c r="AC103" s="14" t="s">
        <v>216</v>
      </c>
    </row>
    <row r="104" spans="1:29" x14ac:dyDescent="0.3">
      <c r="A104" t="s">
        <v>671</v>
      </c>
      <c r="B104" t="s">
        <v>672</v>
      </c>
      <c r="C104" s="14" t="s">
        <v>300</v>
      </c>
      <c r="E104" s="14" t="s">
        <v>216</v>
      </c>
      <c r="H104" s="6">
        <v>30000</v>
      </c>
      <c r="N104" s="14" t="s">
        <v>216</v>
      </c>
      <c r="AC104" s="14" t="s">
        <v>216</v>
      </c>
    </row>
    <row r="105" spans="1:29" x14ac:dyDescent="0.3">
      <c r="A105" t="s">
        <v>738</v>
      </c>
      <c r="B105" t="s">
        <v>739</v>
      </c>
      <c r="C105" s="14" t="s">
        <v>303</v>
      </c>
      <c r="E105" s="14" t="s">
        <v>40</v>
      </c>
      <c r="H105" s="6">
        <v>200</v>
      </c>
    </row>
  </sheetData>
  <autoFilter ref="A1:AC104" xr:uid="{00000000-0001-0000-0000-000000000000}"/>
  <phoneticPr fontId="4"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94B06-1FDA-3F49-BED4-AC20CF922177}">
  <dimension ref="A1:AE13"/>
  <sheetViews>
    <sheetView zoomScale="99" workbookViewId="0">
      <selection activeCell="C21" sqref="C21"/>
    </sheetView>
  </sheetViews>
  <sheetFormatPr baseColWidth="10" defaultRowHeight="14.4" x14ac:dyDescent="0.3"/>
  <cols>
    <col min="1" max="1" width="16.44140625" customWidth="1"/>
    <col min="2" max="2" width="29.77734375" customWidth="1"/>
    <col min="3" max="3" width="20.44140625" customWidth="1"/>
    <col min="4" max="4" width="13.44140625" customWidth="1"/>
    <col min="5" max="5" width="17.44140625" hidden="1" customWidth="1"/>
    <col min="6" max="6" width="13.77734375" hidden="1" customWidth="1"/>
    <col min="7" max="7" width="17.33203125" bestFit="1" customWidth="1"/>
    <col min="8" max="8" width="17.33203125" customWidth="1"/>
    <col min="9" max="9" width="9.109375"/>
    <col min="10" max="10" width="14.44140625" hidden="1" customWidth="1"/>
    <col min="11" max="11" width="0" hidden="1" customWidth="1"/>
    <col min="12" max="12" width="13.44140625" hidden="1" customWidth="1"/>
    <col min="13" max="13" width="15" hidden="1" customWidth="1"/>
    <col min="14" max="14" width="20.109375" hidden="1" customWidth="1"/>
    <col min="15" max="15" width="14.44140625" hidden="1" customWidth="1"/>
    <col min="16" max="16" width="13.6640625" customWidth="1"/>
    <col min="17" max="17" width="0" hidden="1" customWidth="1"/>
    <col min="18" max="18" width="19.109375" hidden="1" customWidth="1"/>
    <col min="19" max="19" width="37.109375" hidden="1" customWidth="1"/>
    <col min="20" max="20" width="14.44140625" hidden="1" customWidth="1"/>
    <col min="21" max="21" width="13.44140625" hidden="1" customWidth="1"/>
    <col min="22" max="22" width="12.109375" hidden="1" customWidth="1"/>
    <col min="23" max="23" width="9.109375"/>
    <col min="25" max="25" width="14.77734375" customWidth="1"/>
    <col min="26" max="26" width="15.77734375" customWidth="1"/>
    <col min="29" max="29" width="16.44140625" customWidth="1"/>
  </cols>
  <sheetData>
    <row r="1" spans="1:31" ht="43.2" x14ac:dyDescent="0.3">
      <c r="A1" s="8" t="s">
        <v>0</v>
      </c>
      <c r="B1" s="8" t="s">
        <v>41</v>
      </c>
      <c r="C1" s="4" t="s">
        <v>42</v>
      </c>
      <c r="D1" s="8" t="s">
        <v>43</v>
      </c>
      <c r="E1" s="9" t="s">
        <v>8</v>
      </c>
      <c r="F1" s="8" t="s">
        <v>44</v>
      </c>
      <c r="G1" s="8" t="s">
        <v>61</v>
      </c>
      <c r="H1" s="8" t="s">
        <v>45</v>
      </c>
      <c r="I1" s="8" t="s">
        <v>46</v>
      </c>
      <c r="J1" s="8" t="s">
        <v>47</v>
      </c>
      <c r="K1" s="9" t="s">
        <v>48</v>
      </c>
      <c r="L1" s="9" t="s">
        <v>49</v>
      </c>
      <c r="M1" s="8" t="s">
        <v>50</v>
      </c>
      <c r="N1" s="8" t="s">
        <v>51</v>
      </c>
      <c r="O1" s="9" t="s">
        <v>52</v>
      </c>
      <c r="P1" s="9" t="s">
        <v>53</v>
      </c>
      <c r="Q1" s="9" t="s">
        <v>54</v>
      </c>
      <c r="R1" s="4" t="s">
        <v>55</v>
      </c>
      <c r="S1" s="10" t="s">
        <v>56</v>
      </c>
      <c r="T1" s="9" t="s">
        <v>57</v>
      </c>
      <c r="U1" s="9" t="s">
        <v>58</v>
      </c>
      <c r="V1" s="9" t="s">
        <v>59</v>
      </c>
      <c r="W1" s="9" t="s">
        <v>60</v>
      </c>
      <c r="Y1" s="9" t="s">
        <v>95</v>
      </c>
      <c r="Z1" s="9" t="s">
        <v>96</v>
      </c>
      <c r="AA1" s="9" t="s">
        <v>97</v>
      </c>
      <c r="AC1" s="9" t="s">
        <v>102</v>
      </c>
      <c r="AD1" s="9" t="s">
        <v>100</v>
      </c>
      <c r="AE1" s="9" t="s">
        <v>101</v>
      </c>
    </row>
    <row r="2" spans="1:31" x14ac:dyDescent="0.3">
      <c r="A2" t="s">
        <v>85</v>
      </c>
      <c r="B2" t="s">
        <v>62</v>
      </c>
      <c r="C2" t="s">
        <v>75</v>
      </c>
      <c r="D2">
        <v>0</v>
      </c>
      <c r="E2" s="11" t="s">
        <v>64</v>
      </c>
      <c r="F2">
        <v>0</v>
      </c>
      <c r="G2" t="s">
        <v>64</v>
      </c>
      <c r="H2" t="s">
        <v>76</v>
      </c>
      <c r="I2">
        <v>7</v>
      </c>
      <c r="J2">
        <v>7</v>
      </c>
      <c r="K2">
        <v>7</v>
      </c>
      <c r="L2">
        <v>7</v>
      </c>
      <c r="M2">
        <v>7</v>
      </c>
      <c r="N2">
        <v>7</v>
      </c>
      <c r="O2">
        <v>7</v>
      </c>
      <c r="W2">
        <v>7</v>
      </c>
      <c r="Y2" t="s">
        <v>62</v>
      </c>
      <c r="Z2" t="s">
        <v>98</v>
      </c>
      <c r="AA2">
        <v>12</v>
      </c>
      <c r="AC2" t="s">
        <v>105</v>
      </c>
      <c r="AD2" t="s">
        <v>103</v>
      </c>
      <c r="AE2">
        <v>0</v>
      </c>
    </row>
    <row r="3" spans="1:31" x14ac:dyDescent="0.3">
      <c r="A3" t="s">
        <v>85</v>
      </c>
      <c r="B3" t="s">
        <v>62</v>
      </c>
      <c r="C3" t="s">
        <v>75</v>
      </c>
      <c r="D3">
        <v>0</v>
      </c>
      <c r="E3" s="11"/>
      <c r="G3" t="s">
        <v>64</v>
      </c>
      <c r="H3" t="s">
        <v>76</v>
      </c>
      <c r="I3">
        <v>7</v>
      </c>
      <c r="W3">
        <v>7</v>
      </c>
      <c r="Y3" t="s">
        <v>62</v>
      </c>
      <c r="Z3" t="s">
        <v>99</v>
      </c>
      <c r="AA3">
        <v>150</v>
      </c>
      <c r="AC3" t="s">
        <v>105</v>
      </c>
      <c r="AD3" t="s">
        <v>104</v>
      </c>
      <c r="AE3">
        <v>0</v>
      </c>
    </row>
    <row r="4" spans="1:31" x14ac:dyDescent="0.3">
      <c r="A4" t="s">
        <v>86</v>
      </c>
      <c r="B4" t="s">
        <v>66</v>
      </c>
      <c r="C4" t="s">
        <v>75</v>
      </c>
      <c r="D4">
        <v>200</v>
      </c>
      <c r="E4" t="s">
        <v>63</v>
      </c>
      <c r="F4" s="11" t="s">
        <v>64</v>
      </c>
      <c r="G4" t="s">
        <v>64</v>
      </c>
      <c r="H4" t="s">
        <v>76</v>
      </c>
      <c r="I4">
        <v>7</v>
      </c>
      <c r="J4" t="s">
        <v>65</v>
      </c>
      <c r="W4">
        <v>7</v>
      </c>
    </row>
    <row r="5" spans="1:31" x14ac:dyDescent="0.3">
      <c r="A5" t="s">
        <v>87</v>
      </c>
      <c r="B5" t="s">
        <v>67</v>
      </c>
      <c r="C5" t="s">
        <v>75</v>
      </c>
      <c r="D5">
        <v>130</v>
      </c>
      <c r="E5" t="s">
        <v>68</v>
      </c>
      <c r="F5" s="11" t="s">
        <v>64</v>
      </c>
      <c r="G5" t="s">
        <v>64</v>
      </c>
      <c r="H5" t="s">
        <v>76</v>
      </c>
      <c r="I5">
        <v>7</v>
      </c>
      <c r="J5" t="s">
        <v>65</v>
      </c>
      <c r="W5">
        <v>7</v>
      </c>
    </row>
    <row r="6" spans="1:31" x14ac:dyDescent="0.3">
      <c r="A6" t="s">
        <v>88</v>
      </c>
      <c r="B6" t="s">
        <v>69</v>
      </c>
      <c r="C6" t="s">
        <v>75</v>
      </c>
      <c r="D6">
        <v>80</v>
      </c>
      <c r="E6" t="s">
        <v>70</v>
      </c>
      <c r="F6" s="11" t="s">
        <v>64</v>
      </c>
      <c r="G6" t="s">
        <v>64</v>
      </c>
      <c r="H6" t="s">
        <v>76</v>
      </c>
      <c r="I6">
        <v>7</v>
      </c>
      <c r="J6" t="s">
        <v>65</v>
      </c>
      <c r="W6">
        <v>7</v>
      </c>
    </row>
    <row r="7" spans="1:31" x14ac:dyDescent="0.3">
      <c r="A7" t="s">
        <v>89</v>
      </c>
      <c r="B7" t="s">
        <v>71</v>
      </c>
      <c r="C7" t="s">
        <v>75</v>
      </c>
      <c r="D7">
        <v>125</v>
      </c>
      <c r="E7" t="s">
        <v>72</v>
      </c>
      <c r="F7" s="11" t="s">
        <v>64</v>
      </c>
      <c r="G7" t="s">
        <v>64</v>
      </c>
      <c r="H7" t="s">
        <v>76</v>
      </c>
      <c r="I7">
        <v>7</v>
      </c>
      <c r="J7" t="s">
        <v>65</v>
      </c>
      <c r="W7">
        <v>7</v>
      </c>
    </row>
    <row r="8" spans="1:31" x14ac:dyDescent="0.3">
      <c r="A8" t="s">
        <v>90</v>
      </c>
      <c r="B8" t="s">
        <v>73</v>
      </c>
      <c r="C8" t="s">
        <v>75</v>
      </c>
      <c r="D8">
        <v>120</v>
      </c>
      <c r="E8" t="s">
        <v>74</v>
      </c>
      <c r="G8" t="s">
        <v>64</v>
      </c>
      <c r="H8" t="s">
        <v>76</v>
      </c>
      <c r="I8">
        <v>7</v>
      </c>
      <c r="W8">
        <v>7</v>
      </c>
    </row>
    <row r="9" spans="1:31" x14ac:dyDescent="0.3">
      <c r="A9" t="s">
        <v>91</v>
      </c>
      <c r="B9" t="s">
        <v>77</v>
      </c>
      <c r="C9" t="s">
        <v>75</v>
      </c>
      <c r="D9">
        <v>12</v>
      </c>
      <c r="E9" s="11" t="s">
        <v>79</v>
      </c>
      <c r="F9">
        <v>0</v>
      </c>
      <c r="G9" t="s">
        <v>84</v>
      </c>
      <c r="H9" t="s">
        <v>76</v>
      </c>
      <c r="I9">
        <v>7</v>
      </c>
      <c r="W9">
        <v>7</v>
      </c>
    </row>
    <row r="10" spans="1:31" x14ac:dyDescent="0.3">
      <c r="A10" t="s">
        <v>92</v>
      </c>
      <c r="B10" t="s">
        <v>80</v>
      </c>
      <c r="C10" t="s">
        <v>75</v>
      </c>
      <c r="D10">
        <v>12</v>
      </c>
      <c r="E10" t="s">
        <v>78</v>
      </c>
      <c r="F10" s="11" t="s">
        <v>79</v>
      </c>
      <c r="G10" t="s">
        <v>84</v>
      </c>
      <c r="H10" t="s">
        <v>76</v>
      </c>
      <c r="I10">
        <v>7</v>
      </c>
      <c r="J10" t="s">
        <v>65</v>
      </c>
      <c r="W10">
        <v>7</v>
      </c>
    </row>
    <row r="11" spans="1:31" x14ac:dyDescent="0.3">
      <c r="A11" t="s">
        <v>93</v>
      </c>
      <c r="B11" t="s">
        <v>81</v>
      </c>
      <c r="C11" t="s">
        <v>75</v>
      </c>
      <c r="D11">
        <v>12</v>
      </c>
      <c r="E11" t="s">
        <v>82</v>
      </c>
      <c r="F11" s="11" t="s">
        <v>79</v>
      </c>
      <c r="G11" t="s">
        <v>84</v>
      </c>
      <c r="H11" t="s">
        <v>76</v>
      </c>
      <c r="I11">
        <v>7</v>
      </c>
      <c r="J11" t="s">
        <v>65</v>
      </c>
      <c r="W11">
        <v>7</v>
      </c>
    </row>
    <row r="12" spans="1:31" x14ac:dyDescent="0.3">
      <c r="A12" t="s">
        <v>94</v>
      </c>
      <c r="B12" t="s">
        <v>83</v>
      </c>
      <c r="C12" t="s">
        <v>75</v>
      </c>
      <c r="D12">
        <v>12</v>
      </c>
      <c r="G12" t="s">
        <v>84</v>
      </c>
      <c r="H12" t="s">
        <v>76</v>
      </c>
      <c r="I12">
        <v>7</v>
      </c>
      <c r="W12">
        <v>7</v>
      </c>
    </row>
    <row r="13" spans="1:31" x14ac:dyDescent="0.3">
      <c r="A13" t="s">
        <v>121</v>
      </c>
      <c r="B13" t="s">
        <v>120</v>
      </c>
      <c r="C13" t="s">
        <v>75</v>
      </c>
      <c r="D13">
        <v>15</v>
      </c>
      <c r="G13" t="s">
        <v>122</v>
      </c>
      <c r="H13" t="s">
        <v>123</v>
      </c>
      <c r="I13">
        <v>7</v>
      </c>
      <c r="W13">
        <v>7</v>
      </c>
    </row>
  </sheetData>
  <phoneticPr fontId="4" type="noConversion"/>
  <hyperlinks>
    <hyperlink ref="E2" r:id="rId1" tooltip="Show item subcategory" display="https://admindev.invupos.com/item_subcategories/26" xr:uid="{C6B10A9D-8451-4040-A19E-AE853531C91C}"/>
    <hyperlink ref="F4" r:id="rId2" tooltip="Show item subcategory" display="https://admindev.invupos.com/item_subcategories/26" xr:uid="{71425D44-9CF5-1D4C-9D71-C7F20D550B03}"/>
    <hyperlink ref="F5" r:id="rId3" tooltip="Show item subcategory" display="https://admindev.invupos.com/item_subcategories/26" xr:uid="{1E4FFDF8-2F31-9547-8AD2-18AF1573A4B2}"/>
    <hyperlink ref="F6" r:id="rId4" tooltip="Show item subcategory" display="https://admindev.invupos.com/item_subcategories/26" xr:uid="{965FEA96-DA1A-664E-94C1-FE1573806492}"/>
    <hyperlink ref="F7" r:id="rId5" tooltip="Show item subcategory" display="https://admindev.invupos.com/item_subcategories/26" xr:uid="{DE69C551-6061-204D-8900-4AD70B3B8DBB}"/>
    <hyperlink ref="E9" r:id="rId6" tooltip="Show item subcategory" display="https://admindev.invupos.com/item_subcategories/10" xr:uid="{F9FDD911-8E72-EA45-922B-5BD498DEF163}"/>
    <hyperlink ref="F10" r:id="rId7" tooltip="Show item subcategory" display="https://admindev.invupos.com/item_subcategories/10" xr:uid="{F556DC6C-D6A1-F048-BEF8-358A8A87FFF2}"/>
    <hyperlink ref="F11" r:id="rId8" tooltip="Show item subcategory" display="https://admindev.invupos.com/item_subcategories/10" xr:uid="{FCA1C61A-4A5C-484E-B52A-F4BA94FACABA}"/>
  </hyperlinks>
  <pageMargins left="0.7" right="0.7" top="0.75" bottom="0.75" header="0.3" footer="0.3"/>
  <legacyDrawing r:id="rId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0E362-BA86-F248-BC63-2995B7F248FB}">
  <dimension ref="A2:H275"/>
  <sheetViews>
    <sheetView showGridLines="0" topLeftCell="A268" workbookViewId="0">
      <selection activeCell="G276" sqref="G276"/>
    </sheetView>
  </sheetViews>
  <sheetFormatPr baseColWidth="10" defaultRowHeight="14.4" x14ac:dyDescent="0.3"/>
  <cols>
    <col min="2" max="2" width="23.5546875" bestFit="1" customWidth="1"/>
    <col min="3" max="3" width="12.88671875" style="14" customWidth="1"/>
    <col min="4" max="4" width="13.5546875" style="14" customWidth="1"/>
    <col min="5" max="5" width="17.33203125" style="14" customWidth="1"/>
    <col min="6" max="6" width="21.77734375" customWidth="1"/>
  </cols>
  <sheetData>
    <row r="2" spans="1:8" s="12" customFormat="1" x14ac:dyDescent="0.3">
      <c r="A2" s="13" t="s">
        <v>109</v>
      </c>
      <c r="B2" s="12" t="s">
        <v>106</v>
      </c>
      <c r="C2" s="13" t="s">
        <v>107</v>
      </c>
      <c r="D2" s="14" t="s">
        <v>108</v>
      </c>
      <c r="E2" s="15" t="s">
        <v>125</v>
      </c>
      <c r="F2" s="16" t="s">
        <v>111</v>
      </c>
      <c r="G2" s="12" t="s">
        <v>112</v>
      </c>
      <c r="H2" s="12" t="s">
        <v>112</v>
      </c>
    </row>
    <row r="3" spans="1:8" x14ac:dyDescent="0.3">
      <c r="A3" s="17" t="s">
        <v>110</v>
      </c>
      <c r="B3" s="17" t="s">
        <v>307</v>
      </c>
      <c r="C3" s="18">
        <v>15</v>
      </c>
      <c r="D3" s="18" t="s">
        <v>308</v>
      </c>
      <c r="E3" s="18" t="str">
        <f>'PRODUCTOS PLANTA PRODUCCION'!A33</f>
        <v>PR032</v>
      </c>
      <c r="F3" s="17" t="str">
        <f>'PRODUCTOS PLANTA PRODUCCION'!B33</f>
        <v xml:space="preserve">Tomatillo </v>
      </c>
      <c r="G3" s="17">
        <v>5000</v>
      </c>
      <c r="H3" s="17" t="s">
        <v>309</v>
      </c>
    </row>
    <row r="4" spans="1:8" x14ac:dyDescent="0.3">
      <c r="A4" s="17" t="s">
        <v>110</v>
      </c>
      <c r="B4" s="17" t="s">
        <v>307</v>
      </c>
      <c r="C4" s="18">
        <v>15</v>
      </c>
      <c r="D4" s="18" t="s">
        <v>308</v>
      </c>
      <c r="E4" s="18" t="str">
        <f>'PRODUCTOS PLANTA PRODUCCION'!A29</f>
        <v>PR028</v>
      </c>
      <c r="F4" s="17" t="str">
        <f>'PRODUCTOS PLANTA PRODUCCION'!B29</f>
        <v xml:space="preserve">Tomate chonto </v>
      </c>
      <c r="G4" s="17">
        <v>5800</v>
      </c>
      <c r="H4" s="17" t="s">
        <v>309</v>
      </c>
    </row>
    <row r="5" spans="1:8" x14ac:dyDescent="0.3">
      <c r="A5" s="17" t="s">
        <v>110</v>
      </c>
      <c r="B5" s="17" t="s">
        <v>307</v>
      </c>
      <c r="C5" s="18">
        <v>15</v>
      </c>
      <c r="D5" s="18" t="s">
        <v>308</v>
      </c>
      <c r="E5" s="18" t="str">
        <f>'PRODUCTOS PLANTA PRODUCCION'!A10</f>
        <v>PR009</v>
      </c>
      <c r="F5" s="17" t="str">
        <f>'PRODUCTOS PLANTA PRODUCCION'!B10</f>
        <v>Cebolla blanca</v>
      </c>
      <c r="G5" s="17">
        <v>1700</v>
      </c>
      <c r="H5" s="17" t="s">
        <v>309</v>
      </c>
    </row>
    <row r="6" spans="1:8" x14ac:dyDescent="0.3">
      <c r="A6" s="17" t="s">
        <v>110</v>
      </c>
      <c r="B6" s="17" t="s">
        <v>307</v>
      </c>
      <c r="C6" s="18">
        <v>15</v>
      </c>
      <c r="D6" s="18" t="s">
        <v>308</v>
      </c>
      <c r="E6" s="18" t="str">
        <f>'PRODUCTOS PLANTA PRODUCCION'!A12</f>
        <v>PR011</v>
      </c>
      <c r="F6" s="17" t="str">
        <f>'PRODUCTOS PLANTA PRODUCCION'!B12</f>
        <v>Chile de arbol</v>
      </c>
      <c r="G6" s="17">
        <v>35</v>
      </c>
      <c r="H6" s="17" t="s">
        <v>309</v>
      </c>
    </row>
    <row r="7" spans="1:8" x14ac:dyDescent="0.3">
      <c r="A7" s="17" t="s">
        <v>110</v>
      </c>
      <c r="B7" s="17" t="s">
        <v>307</v>
      </c>
      <c r="C7" s="18">
        <v>15</v>
      </c>
      <c r="D7" s="18" t="s">
        <v>308</v>
      </c>
      <c r="E7" s="18" t="str">
        <f>'PRODUCTOS PLANTA PRODUCCION'!A13</f>
        <v>PR012</v>
      </c>
      <c r="F7" s="17" t="str">
        <f>'PRODUCTOS PLANTA PRODUCCION'!B13</f>
        <v>Chile guajillo</v>
      </c>
      <c r="G7" s="17">
        <v>186</v>
      </c>
      <c r="H7" s="17" t="s">
        <v>309</v>
      </c>
    </row>
    <row r="8" spans="1:8" x14ac:dyDescent="0.3">
      <c r="A8" s="17" t="s">
        <v>110</v>
      </c>
      <c r="B8" s="17" t="s">
        <v>307</v>
      </c>
      <c r="C8" s="18">
        <v>15</v>
      </c>
      <c r="D8" s="18" t="s">
        <v>308</v>
      </c>
      <c r="E8" s="18" t="str">
        <f>'PRODUCTOS PLANTA PRODUCCION'!A35</f>
        <v>PR034</v>
      </c>
      <c r="F8" s="17" t="str">
        <f>'PRODUCTOS PLANTA PRODUCCION'!B35</f>
        <v xml:space="preserve">Chile morita </v>
      </c>
      <c r="G8" s="17">
        <v>85</v>
      </c>
      <c r="H8" s="17" t="s">
        <v>309</v>
      </c>
    </row>
    <row r="9" spans="1:8" x14ac:dyDescent="0.3">
      <c r="A9" s="17" t="s">
        <v>110</v>
      </c>
      <c r="B9" s="17" t="s">
        <v>307</v>
      </c>
      <c r="C9" s="18">
        <v>15</v>
      </c>
      <c r="D9" s="18" t="s">
        <v>308</v>
      </c>
      <c r="E9" s="18" t="str">
        <f>'PRODUCTOS PLANTA PRODUCCION'!A7</f>
        <v>PR006</v>
      </c>
      <c r="F9" s="17" t="s">
        <v>113</v>
      </c>
      <c r="G9" s="17">
        <v>420</v>
      </c>
      <c r="H9" s="17" t="s">
        <v>309</v>
      </c>
    </row>
    <row r="10" spans="1:8" x14ac:dyDescent="0.3">
      <c r="A10" s="17" t="s">
        <v>110</v>
      </c>
      <c r="B10" s="17" t="s">
        <v>307</v>
      </c>
      <c r="C10" s="18">
        <v>15</v>
      </c>
      <c r="D10" s="18" t="s">
        <v>308</v>
      </c>
      <c r="E10" s="18" t="str">
        <f>'PRODUCTOS PLANTA PRODUCCION'!A28</f>
        <v>PR027</v>
      </c>
      <c r="F10" s="17" t="str">
        <f>'PRODUCTOS PLANTA PRODUCCION'!B28</f>
        <v>Sal común</v>
      </c>
      <c r="G10" s="17">
        <v>250</v>
      </c>
      <c r="H10" s="17" t="s">
        <v>309</v>
      </c>
    </row>
    <row r="11" spans="1:8" x14ac:dyDescent="0.3">
      <c r="A11" s="17" t="s">
        <v>110</v>
      </c>
      <c r="B11" s="17" t="s">
        <v>307</v>
      </c>
      <c r="C11" s="18">
        <v>15</v>
      </c>
      <c r="D11" s="18" t="s">
        <v>308</v>
      </c>
      <c r="E11" s="18" t="str">
        <f>'PRODUCTOS PLANTA PRODUCCION'!A96</f>
        <v>PR082</v>
      </c>
      <c r="F11" s="17" t="str">
        <f>'PRODUCTOS PLANTA PRODUCCION'!B96</f>
        <v>AGUA POTABLE</v>
      </c>
      <c r="G11" s="17">
        <v>2000</v>
      </c>
      <c r="H11" s="17" t="s">
        <v>311</v>
      </c>
    </row>
    <row r="12" spans="1:8" x14ac:dyDescent="0.3">
      <c r="A12" s="17" t="s">
        <v>110</v>
      </c>
      <c r="B12" s="17" t="s">
        <v>307</v>
      </c>
      <c r="C12" s="18">
        <v>15</v>
      </c>
      <c r="D12" s="18" t="s">
        <v>308</v>
      </c>
      <c r="E12" s="18" t="str">
        <f>'PRODUCTOS GENERALES PEYBU '!A2</f>
        <v>PEY01</v>
      </c>
      <c r="F12" s="17" t="s">
        <v>191</v>
      </c>
      <c r="G12" s="17">
        <v>1</v>
      </c>
      <c r="H12" s="17" t="s">
        <v>108</v>
      </c>
    </row>
    <row r="15" spans="1:8" x14ac:dyDescent="0.3">
      <c r="A15" s="17" t="s">
        <v>114</v>
      </c>
      <c r="B15" s="17" t="s">
        <v>312</v>
      </c>
      <c r="C15" s="18">
        <v>11</v>
      </c>
      <c r="D15" s="18" t="s">
        <v>308</v>
      </c>
      <c r="E15" s="18" t="str">
        <f>'PRODUCTOS PLANTA PRODUCCION'!A29</f>
        <v>PR028</v>
      </c>
      <c r="F15" s="17" t="str">
        <f>'PRODUCTOS PLANTA PRODUCCION'!B29</f>
        <v xml:space="preserve">Tomate chonto </v>
      </c>
      <c r="G15" s="17">
        <v>3900</v>
      </c>
      <c r="H15" s="17" t="s">
        <v>309</v>
      </c>
    </row>
    <row r="16" spans="1:8" x14ac:dyDescent="0.3">
      <c r="A16" s="17" t="s">
        <v>114</v>
      </c>
      <c r="B16" s="17" t="s">
        <v>312</v>
      </c>
      <c r="C16" s="18">
        <v>11</v>
      </c>
      <c r="D16" s="18" t="s">
        <v>308</v>
      </c>
      <c r="E16" s="18" t="str">
        <f>'PRODUCTOS PLANTA PRODUCCION'!A10</f>
        <v>PR009</v>
      </c>
      <c r="F16" s="17" t="s">
        <v>133</v>
      </c>
      <c r="G16" s="17">
        <v>1750</v>
      </c>
      <c r="H16" s="17" t="s">
        <v>309</v>
      </c>
    </row>
    <row r="17" spans="1:8" x14ac:dyDescent="0.3">
      <c r="A17" s="17" t="s">
        <v>114</v>
      </c>
      <c r="B17" s="17" t="s">
        <v>312</v>
      </c>
      <c r="C17" s="18">
        <v>11</v>
      </c>
      <c r="D17" s="18" t="s">
        <v>308</v>
      </c>
      <c r="E17" s="18" t="str">
        <f>'PRODUCTOS PLANTA PRODUCCION'!A36</f>
        <v>PR035</v>
      </c>
      <c r="F17" s="17" t="str">
        <f>'PRODUCTOS PLANTA PRODUCCION'!B36</f>
        <v>Chile serrano</v>
      </c>
      <c r="G17" s="17">
        <v>320</v>
      </c>
      <c r="H17" s="17" t="s">
        <v>309</v>
      </c>
    </row>
    <row r="18" spans="1:8" x14ac:dyDescent="0.3">
      <c r="A18" s="17" t="s">
        <v>114</v>
      </c>
      <c r="B18" s="17" t="s">
        <v>312</v>
      </c>
      <c r="C18" s="18">
        <v>11</v>
      </c>
      <c r="D18" s="18" t="s">
        <v>308</v>
      </c>
      <c r="E18" s="18" t="str">
        <f>'PRODUCTOS PLANTA PRODUCCION'!A37</f>
        <v>PR036</v>
      </c>
      <c r="F18" s="17" t="str">
        <f>'PRODUCTOS PLANTA PRODUCCION'!B37</f>
        <v xml:space="preserve">Chile abanero </v>
      </c>
      <c r="G18" s="17">
        <v>500</v>
      </c>
      <c r="H18" s="17" t="s">
        <v>309</v>
      </c>
    </row>
    <row r="19" spans="1:8" x14ac:dyDescent="0.3">
      <c r="A19" s="17" t="s">
        <v>114</v>
      </c>
      <c r="B19" s="17" t="s">
        <v>312</v>
      </c>
      <c r="C19" s="18">
        <v>11</v>
      </c>
      <c r="D19" s="18" t="s">
        <v>308</v>
      </c>
      <c r="E19" s="18" t="s">
        <v>314</v>
      </c>
      <c r="F19" s="17" t="s">
        <v>313</v>
      </c>
      <c r="G19" s="17">
        <v>140</v>
      </c>
      <c r="H19" s="17" t="s">
        <v>309</v>
      </c>
    </row>
    <row r="20" spans="1:8" x14ac:dyDescent="0.3">
      <c r="A20" s="17" t="s">
        <v>114</v>
      </c>
      <c r="B20" s="17" t="s">
        <v>312</v>
      </c>
      <c r="C20" s="18">
        <v>11</v>
      </c>
      <c r="D20" s="18" t="s">
        <v>308</v>
      </c>
      <c r="E20" s="18" t="str">
        <f>'PRODUCTOS PLANTA PRODUCCION'!A6</f>
        <v>PR005</v>
      </c>
      <c r="F20" s="17" t="str">
        <f>'PRODUCTOS PLANTA PRODUCCION'!B6</f>
        <v>Aji dulce</v>
      </c>
      <c r="G20" s="17">
        <v>640</v>
      </c>
      <c r="H20" s="17" t="s">
        <v>309</v>
      </c>
    </row>
    <row r="21" spans="1:8" x14ac:dyDescent="0.3">
      <c r="A21" s="17" t="s">
        <v>114</v>
      </c>
      <c r="B21" s="17" t="s">
        <v>312</v>
      </c>
      <c r="C21" s="18">
        <v>11</v>
      </c>
      <c r="D21" s="18" t="s">
        <v>308</v>
      </c>
      <c r="E21" s="18" t="str">
        <f>'PRODUCTOS PLANTA PRODUCCION'!A7</f>
        <v>PR006</v>
      </c>
      <c r="F21" s="17" t="s">
        <v>315</v>
      </c>
      <c r="G21" s="17">
        <v>280</v>
      </c>
      <c r="H21" s="17" t="s">
        <v>309</v>
      </c>
    </row>
    <row r="22" spans="1:8" x14ac:dyDescent="0.3">
      <c r="A22" s="17" t="s">
        <v>114</v>
      </c>
      <c r="B22" s="17" t="s">
        <v>312</v>
      </c>
      <c r="C22" s="18">
        <v>11</v>
      </c>
      <c r="D22" s="18" t="s">
        <v>308</v>
      </c>
      <c r="E22" s="18" t="str">
        <f>'PRODUCTOS PLANTA PRODUCCION'!A28</f>
        <v>PR027</v>
      </c>
      <c r="F22" s="17" t="s">
        <v>316</v>
      </c>
      <c r="G22" s="17">
        <v>250</v>
      </c>
      <c r="H22" s="17" t="s">
        <v>309</v>
      </c>
    </row>
    <row r="23" spans="1:8" x14ac:dyDescent="0.3">
      <c r="A23" s="17" t="s">
        <v>114</v>
      </c>
      <c r="B23" s="17" t="s">
        <v>312</v>
      </c>
      <c r="C23" s="18">
        <v>11</v>
      </c>
      <c r="D23" s="18" t="s">
        <v>308</v>
      </c>
      <c r="E23" s="18" t="str">
        <f>'PRODUCTOS PLANTA PRODUCCION'!A96</f>
        <v>PR082</v>
      </c>
      <c r="F23" s="17" t="s">
        <v>310</v>
      </c>
      <c r="G23" s="17">
        <v>3500</v>
      </c>
      <c r="H23" s="17" t="s">
        <v>311</v>
      </c>
    </row>
    <row r="24" spans="1:8" x14ac:dyDescent="0.3">
      <c r="A24" s="17" t="s">
        <v>114</v>
      </c>
      <c r="B24" s="17" t="s">
        <v>312</v>
      </c>
      <c r="C24" s="18">
        <v>11</v>
      </c>
      <c r="D24" s="18" t="s">
        <v>308</v>
      </c>
      <c r="E24" s="18" t="s">
        <v>275</v>
      </c>
      <c r="F24" s="17" t="s">
        <v>191</v>
      </c>
      <c r="G24" s="17">
        <v>1</v>
      </c>
      <c r="H24" s="17" t="s">
        <v>108</v>
      </c>
    </row>
    <row r="26" spans="1:8" x14ac:dyDescent="0.3">
      <c r="A26" s="17" t="s">
        <v>317</v>
      </c>
      <c r="B26" s="17" t="s">
        <v>318</v>
      </c>
      <c r="C26" s="18">
        <v>5</v>
      </c>
      <c r="D26" s="18" t="s">
        <v>308</v>
      </c>
      <c r="E26" s="18" t="str">
        <f>'PRODUCTOS PLANTA PRODUCCION'!A34</f>
        <v>PR033</v>
      </c>
      <c r="F26" s="17" t="str">
        <f>'PRODUCTOS PLANTA PRODUCCION'!B34</f>
        <v>Jalapeño verde</v>
      </c>
      <c r="G26" s="17">
        <v>250</v>
      </c>
      <c r="H26" s="17" t="s">
        <v>309</v>
      </c>
    </row>
    <row r="27" spans="1:8" x14ac:dyDescent="0.3">
      <c r="A27" s="17" t="s">
        <v>317</v>
      </c>
      <c r="B27" s="17" t="s">
        <v>318</v>
      </c>
      <c r="C27" s="18">
        <v>5</v>
      </c>
      <c r="D27" s="18" t="s">
        <v>308</v>
      </c>
      <c r="E27" s="18" t="s">
        <v>39</v>
      </c>
      <c r="F27" s="17" t="s">
        <v>133</v>
      </c>
      <c r="G27" s="17">
        <v>500</v>
      </c>
      <c r="H27" s="17" t="s">
        <v>309</v>
      </c>
    </row>
    <row r="28" spans="1:8" x14ac:dyDescent="0.3">
      <c r="A28" s="17" t="s">
        <v>317</v>
      </c>
      <c r="B28" s="17" t="s">
        <v>318</v>
      </c>
      <c r="C28" s="18">
        <v>5</v>
      </c>
      <c r="D28" s="18" t="s">
        <v>308</v>
      </c>
      <c r="E28" s="18" t="s">
        <v>36</v>
      </c>
      <c r="F28" s="17" t="s">
        <v>315</v>
      </c>
      <c r="G28" s="17">
        <v>280</v>
      </c>
      <c r="H28" s="17" t="s">
        <v>309</v>
      </c>
    </row>
    <row r="29" spans="1:8" x14ac:dyDescent="0.3">
      <c r="A29" s="17" t="s">
        <v>317</v>
      </c>
      <c r="B29" s="17" t="s">
        <v>318</v>
      </c>
      <c r="C29" s="18">
        <v>5</v>
      </c>
      <c r="D29" s="18" t="s">
        <v>308</v>
      </c>
      <c r="E29" s="18" t="str">
        <f>'PRODUCTOS PLANTA PRODUCCION'!A11</f>
        <v>PR010</v>
      </c>
      <c r="F29" s="17" t="s">
        <v>134</v>
      </c>
      <c r="G29" s="17">
        <v>140</v>
      </c>
      <c r="H29" s="17" t="s">
        <v>309</v>
      </c>
    </row>
    <row r="30" spans="1:8" x14ac:dyDescent="0.3">
      <c r="A30" s="17" t="s">
        <v>317</v>
      </c>
      <c r="B30" s="17" t="s">
        <v>318</v>
      </c>
      <c r="C30" s="18">
        <v>5</v>
      </c>
      <c r="D30" s="18" t="s">
        <v>308</v>
      </c>
      <c r="E30" s="18" t="str">
        <f>'PRODUCTOS PLANTA PRODUCCION'!A33</f>
        <v>PR032</v>
      </c>
      <c r="F30" s="17" t="s">
        <v>319</v>
      </c>
      <c r="G30" s="17">
        <v>1000</v>
      </c>
      <c r="H30" s="17" t="s">
        <v>309</v>
      </c>
    </row>
    <row r="31" spans="1:8" x14ac:dyDescent="0.3">
      <c r="A31" s="17" t="s">
        <v>317</v>
      </c>
      <c r="B31" s="17" t="s">
        <v>318</v>
      </c>
      <c r="C31" s="18">
        <v>5</v>
      </c>
      <c r="D31" s="18" t="s">
        <v>308</v>
      </c>
      <c r="E31" s="18" t="str">
        <f>'PRODUCTOS PLANTA PRODUCCION'!A29</f>
        <v>PR028</v>
      </c>
      <c r="F31" s="17" t="s">
        <v>320</v>
      </c>
      <c r="G31" s="17">
        <v>3000</v>
      </c>
      <c r="H31" s="17" t="s">
        <v>309</v>
      </c>
    </row>
    <row r="32" spans="1:8" x14ac:dyDescent="0.3">
      <c r="A32" s="17" t="s">
        <v>317</v>
      </c>
      <c r="B32" s="17" t="s">
        <v>318</v>
      </c>
      <c r="C32" s="18">
        <v>5</v>
      </c>
      <c r="D32" s="18" t="s">
        <v>308</v>
      </c>
      <c r="E32" s="18" t="str">
        <f>'PRODUCTOS PLANTA PRODUCCION'!A97</f>
        <v>PR083</v>
      </c>
      <c r="F32" s="17" t="s">
        <v>324</v>
      </c>
      <c r="G32" s="17">
        <v>120</v>
      </c>
      <c r="H32" s="17" t="s">
        <v>325</v>
      </c>
    </row>
    <row r="33" spans="1:8" x14ac:dyDescent="0.3">
      <c r="A33" s="17" t="s">
        <v>317</v>
      </c>
      <c r="B33" s="17" t="s">
        <v>318</v>
      </c>
      <c r="C33" s="18">
        <v>5</v>
      </c>
      <c r="D33" s="18" t="s">
        <v>308</v>
      </c>
      <c r="E33" s="18" t="str">
        <f>'PRODUCTOS PLANTA PRODUCCION'!A28</f>
        <v>PR027</v>
      </c>
      <c r="F33" s="17" t="s">
        <v>316</v>
      </c>
      <c r="G33" s="17">
        <v>3</v>
      </c>
      <c r="H33" s="17" t="s">
        <v>309</v>
      </c>
    </row>
    <row r="34" spans="1:8" x14ac:dyDescent="0.3">
      <c r="A34" s="17" t="s">
        <v>317</v>
      </c>
      <c r="B34" s="17" t="s">
        <v>318</v>
      </c>
      <c r="C34" s="18">
        <v>5</v>
      </c>
      <c r="D34" s="18" t="s">
        <v>308</v>
      </c>
      <c r="E34" s="18" t="str">
        <f>'PRODUCTOS PLANTA PRODUCCION'!A27</f>
        <v>PR026</v>
      </c>
      <c r="F34" s="17" t="s">
        <v>326</v>
      </c>
      <c r="G34" s="17">
        <v>36</v>
      </c>
      <c r="H34" s="17" t="s">
        <v>309</v>
      </c>
    </row>
    <row r="35" spans="1:8" x14ac:dyDescent="0.3">
      <c r="A35" s="17" t="s">
        <v>317</v>
      </c>
      <c r="B35" s="17" t="s">
        <v>318</v>
      </c>
      <c r="C35" s="18">
        <v>5</v>
      </c>
      <c r="D35" s="18" t="s">
        <v>308</v>
      </c>
      <c r="E35" s="18" t="s">
        <v>276</v>
      </c>
      <c r="F35" s="17" t="s">
        <v>192</v>
      </c>
      <c r="G35" s="17">
        <v>1</v>
      </c>
      <c r="H35" s="17" t="s">
        <v>108</v>
      </c>
    </row>
    <row r="38" spans="1:8" x14ac:dyDescent="0.3">
      <c r="A38" s="17" t="s">
        <v>327</v>
      </c>
      <c r="B38" s="17" t="s">
        <v>328</v>
      </c>
      <c r="C38" s="18">
        <v>4</v>
      </c>
      <c r="D38" s="18" t="s">
        <v>308</v>
      </c>
      <c r="E38" s="18" t="str">
        <f>'PRODUCTOS PLANTA PRODUCCION'!A34</f>
        <v>PR033</v>
      </c>
      <c r="F38" s="17" t="s">
        <v>157</v>
      </c>
      <c r="G38" s="17">
        <v>3150</v>
      </c>
      <c r="H38" s="17" t="s">
        <v>309</v>
      </c>
    </row>
    <row r="39" spans="1:8" x14ac:dyDescent="0.3">
      <c r="A39" s="17" t="s">
        <v>327</v>
      </c>
      <c r="B39" s="17" t="s">
        <v>328</v>
      </c>
      <c r="C39" s="18">
        <v>4</v>
      </c>
      <c r="D39" s="18" t="s">
        <v>308</v>
      </c>
      <c r="E39" s="18" t="s">
        <v>39</v>
      </c>
      <c r="F39" s="17" t="s">
        <v>329</v>
      </c>
      <c r="G39" s="17">
        <v>700</v>
      </c>
      <c r="H39" s="17" t="s">
        <v>309</v>
      </c>
    </row>
    <row r="40" spans="1:8" x14ac:dyDescent="0.3">
      <c r="A40" s="17" t="s">
        <v>327</v>
      </c>
      <c r="B40" s="17" t="s">
        <v>328</v>
      </c>
      <c r="C40" s="18">
        <v>4</v>
      </c>
      <c r="D40" s="18" t="s">
        <v>308</v>
      </c>
      <c r="E40" s="18" t="s">
        <v>36</v>
      </c>
      <c r="F40" s="17" t="s">
        <v>113</v>
      </c>
      <c r="G40" s="17">
        <v>155</v>
      </c>
      <c r="H40" s="17" t="s">
        <v>309</v>
      </c>
    </row>
    <row r="41" spans="1:8" x14ac:dyDescent="0.3">
      <c r="A41" s="17" t="s">
        <v>327</v>
      </c>
      <c r="B41" s="17" t="s">
        <v>328</v>
      </c>
      <c r="C41" s="18">
        <v>4</v>
      </c>
      <c r="D41" s="18" t="s">
        <v>308</v>
      </c>
      <c r="E41" s="18" t="s">
        <v>233</v>
      </c>
      <c r="F41" s="17" t="s">
        <v>330</v>
      </c>
      <c r="G41" s="17">
        <v>35</v>
      </c>
      <c r="H41" s="17" t="s">
        <v>309</v>
      </c>
    </row>
    <row r="42" spans="1:8" x14ac:dyDescent="0.3">
      <c r="A42" s="17" t="s">
        <v>327</v>
      </c>
      <c r="B42" s="17" t="s">
        <v>328</v>
      </c>
      <c r="C42" s="18">
        <v>4</v>
      </c>
      <c r="D42" s="18" t="s">
        <v>308</v>
      </c>
      <c r="E42" s="18" t="s">
        <v>232</v>
      </c>
      <c r="F42" s="17" t="s">
        <v>150</v>
      </c>
      <c r="G42" s="17">
        <v>15</v>
      </c>
      <c r="H42" s="17" t="s">
        <v>309</v>
      </c>
    </row>
    <row r="43" spans="1:8" x14ac:dyDescent="0.3">
      <c r="A43" s="17" t="s">
        <v>327</v>
      </c>
      <c r="B43" s="17" t="s">
        <v>328</v>
      </c>
      <c r="C43" s="18">
        <v>4</v>
      </c>
      <c r="D43" s="18" t="s">
        <v>308</v>
      </c>
      <c r="E43" s="18" t="s">
        <v>331</v>
      </c>
      <c r="F43" s="17" t="s">
        <v>332</v>
      </c>
      <c r="G43" s="17">
        <v>40</v>
      </c>
      <c r="H43" s="17" t="s">
        <v>325</v>
      </c>
    </row>
    <row r="44" spans="1:8" x14ac:dyDescent="0.3">
      <c r="A44" s="17" t="s">
        <v>327</v>
      </c>
      <c r="B44" s="17" t="s">
        <v>328</v>
      </c>
      <c r="C44" s="18">
        <v>4</v>
      </c>
      <c r="D44" s="18" t="s">
        <v>308</v>
      </c>
      <c r="E44" s="18" t="s">
        <v>322</v>
      </c>
      <c r="F44" s="17" t="s">
        <v>333</v>
      </c>
      <c r="G44" s="17">
        <v>200</v>
      </c>
      <c r="H44" s="17" t="s">
        <v>325</v>
      </c>
    </row>
    <row r="45" spans="1:8" x14ac:dyDescent="0.3">
      <c r="A45" s="17" t="s">
        <v>327</v>
      </c>
      <c r="B45" s="17" t="s">
        <v>328</v>
      </c>
      <c r="C45" s="18">
        <v>4</v>
      </c>
      <c r="D45" s="18" t="s">
        <v>308</v>
      </c>
      <c r="E45" s="18" t="s">
        <v>276</v>
      </c>
      <c r="F45" s="17" t="s">
        <v>192</v>
      </c>
      <c r="G45" s="17">
        <v>1</v>
      </c>
      <c r="H45" s="17" t="s">
        <v>108</v>
      </c>
    </row>
    <row r="48" spans="1:8" x14ac:dyDescent="0.3">
      <c r="A48" s="17" t="s">
        <v>334</v>
      </c>
      <c r="B48" s="17" t="s">
        <v>335</v>
      </c>
      <c r="C48" s="18">
        <v>9</v>
      </c>
      <c r="D48" s="18" t="s">
        <v>336</v>
      </c>
      <c r="E48" s="18" t="str">
        <f>'PRODUCTOS PLANTA PRODUCCION'!A12</f>
        <v>PR011</v>
      </c>
      <c r="F48" s="17" t="s">
        <v>337</v>
      </c>
      <c r="G48" s="17">
        <v>100</v>
      </c>
      <c r="H48" s="17" t="s">
        <v>309</v>
      </c>
    </row>
    <row r="49" spans="1:8" x14ac:dyDescent="0.3">
      <c r="A49" s="17" t="s">
        <v>334</v>
      </c>
      <c r="B49" s="17" t="s">
        <v>335</v>
      </c>
      <c r="C49" s="18">
        <v>9</v>
      </c>
      <c r="D49" s="18" t="s">
        <v>336</v>
      </c>
      <c r="E49" s="18" t="str">
        <f>'PRODUCTOS PLANTA PRODUCCION'!A29</f>
        <v>PR028</v>
      </c>
      <c r="F49" s="17" t="s">
        <v>338</v>
      </c>
      <c r="G49" s="17">
        <v>5000</v>
      </c>
      <c r="H49" s="17" t="s">
        <v>309</v>
      </c>
    </row>
    <row r="50" spans="1:8" x14ac:dyDescent="0.3">
      <c r="A50" s="17" t="s">
        <v>334</v>
      </c>
      <c r="B50" s="17" t="s">
        <v>335</v>
      </c>
      <c r="C50" s="18">
        <v>9</v>
      </c>
      <c r="D50" s="18" t="s">
        <v>336</v>
      </c>
      <c r="E50" s="18" t="str">
        <f>'PRODUCTOS PLANTA PRODUCCION'!A10</f>
        <v>PR009</v>
      </c>
      <c r="F50" s="17" t="s">
        <v>339</v>
      </c>
      <c r="G50" s="17">
        <v>2000</v>
      </c>
      <c r="H50" s="17" t="s">
        <v>309</v>
      </c>
    </row>
    <row r="51" spans="1:8" x14ac:dyDescent="0.3">
      <c r="A51" s="17" t="s">
        <v>334</v>
      </c>
      <c r="B51" s="17" t="s">
        <v>335</v>
      </c>
      <c r="C51" s="18">
        <v>9</v>
      </c>
      <c r="D51" s="18" t="s">
        <v>336</v>
      </c>
      <c r="E51" s="18" t="str">
        <f>E40</f>
        <v>PR005</v>
      </c>
      <c r="F51" s="17" t="s">
        <v>113</v>
      </c>
      <c r="G51" s="17">
        <v>100</v>
      </c>
      <c r="H51" s="17" t="s">
        <v>309</v>
      </c>
    </row>
    <row r="52" spans="1:8" x14ac:dyDescent="0.3">
      <c r="A52" s="17" t="s">
        <v>334</v>
      </c>
      <c r="B52" s="17" t="s">
        <v>335</v>
      </c>
      <c r="C52" s="18">
        <v>9</v>
      </c>
      <c r="D52" s="18" t="s">
        <v>336</v>
      </c>
      <c r="E52" s="18" t="str">
        <f>E41</f>
        <v>PR026</v>
      </c>
      <c r="F52" s="17" t="s">
        <v>330</v>
      </c>
      <c r="G52" s="17">
        <v>50</v>
      </c>
      <c r="H52" s="17" t="s">
        <v>309</v>
      </c>
    </row>
    <row r="53" spans="1:8" x14ac:dyDescent="0.3">
      <c r="A53" s="17" t="s">
        <v>334</v>
      </c>
      <c r="B53" s="17" t="s">
        <v>335</v>
      </c>
      <c r="C53" s="18">
        <v>9</v>
      </c>
      <c r="D53" s="18" t="s">
        <v>336</v>
      </c>
      <c r="E53" s="18" t="str">
        <f>E42</f>
        <v>PR025</v>
      </c>
      <c r="F53" s="17" t="str">
        <f>F42</f>
        <v>Pimienta molida</v>
      </c>
      <c r="G53" s="17">
        <v>20</v>
      </c>
      <c r="H53" s="17" t="s">
        <v>309</v>
      </c>
    </row>
    <row r="54" spans="1:8" x14ac:dyDescent="0.3">
      <c r="A54" s="17" t="s">
        <v>334</v>
      </c>
      <c r="B54" s="17" t="s">
        <v>335</v>
      </c>
      <c r="C54" s="18">
        <v>9</v>
      </c>
      <c r="D54" s="18" t="s">
        <v>336</v>
      </c>
      <c r="E54" s="18" t="str">
        <f>E44</f>
        <v>PR082</v>
      </c>
      <c r="F54" s="17" t="s">
        <v>340</v>
      </c>
      <c r="G54" s="17">
        <v>1500</v>
      </c>
      <c r="H54" s="17" t="s">
        <v>325</v>
      </c>
    </row>
    <row r="55" spans="1:8" x14ac:dyDescent="0.3">
      <c r="A55" s="17" t="s">
        <v>334</v>
      </c>
      <c r="B55" s="17" t="s">
        <v>335</v>
      </c>
      <c r="C55" s="18">
        <v>9</v>
      </c>
      <c r="D55" s="18" t="s">
        <v>336</v>
      </c>
      <c r="E55" s="18" t="s">
        <v>275</v>
      </c>
      <c r="F55" s="17" t="s">
        <v>191</v>
      </c>
      <c r="G55" s="17">
        <v>1</v>
      </c>
      <c r="H55" s="17" t="s">
        <v>108</v>
      </c>
    </row>
    <row r="58" spans="1:8" x14ac:dyDescent="0.3">
      <c r="A58" s="17" t="s">
        <v>341</v>
      </c>
      <c r="B58" s="17" t="s">
        <v>342</v>
      </c>
      <c r="C58" s="18">
        <v>7</v>
      </c>
      <c r="D58" s="18" t="s">
        <v>343</v>
      </c>
      <c r="E58" s="18" t="str">
        <f>'PRODUCTOS PLANTA PRODUCCION'!A12</f>
        <v>PR011</v>
      </c>
      <c r="F58" s="17" t="s">
        <v>344</v>
      </c>
      <c r="G58" s="17">
        <v>210</v>
      </c>
      <c r="H58" s="17" t="s">
        <v>309</v>
      </c>
    </row>
    <row r="59" spans="1:8" x14ac:dyDescent="0.3">
      <c r="A59" s="17" t="s">
        <v>341</v>
      </c>
      <c r="B59" s="17" t="s">
        <v>342</v>
      </c>
      <c r="C59" s="18">
        <v>7</v>
      </c>
      <c r="D59" s="18" t="s">
        <v>343</v>
      </c>
      <c r="E59" s="18" t="str">
        <f>E19</f>
        <v>PRO33</v>
      </c>
      <c r="F59" s="17" t="s">
        <v>345</v>
      </c>
      <c r="G59" s="17">
        <v>60</v>
      </c>
      <c r="H59" s="17" t="s">
        <v>309</v>
      </c>
    </row>
    <row r="60" spans="1:8" x14ac:dyDescent="0.3">
      <c r="A60" s="17" t="s">
        <v>341</v>
      </c>
      <c r="B60" s="17" t="s">
        <v>342</v>
      </c>
      <c r="C60" s="18">
        <v>7</v>
      </c>
      <c r="D60" s="18" t="s">
        <v>343</v>
      </c>
      <c r="E60" s="18" t="str">
        <f>'PRODUCTOS PLANTA PRODUCCION'!A38</f>
        <v>PR037</v>
      </c>
      <c r="F60" s="17" t="s">
        <v>346</v>
      </c>
      <c r="G60" s="17">
        <v>115</v>
      </c>
      <c r="H60" s="17" t="s">
        <v>309</v>
      </c>
    </row>
    <row r="61" spans="1:8" x14ac:dyDescent="0.3">
      <c r="A61" s="17" t="s">
        <v>341</v>
      </c>
      <c r="B61" s="17" t="s">
        <v>342</v>
      </c>
      <c r="C61" s="18">
        <v>7</v>
      </c>
      <c r="D61" s="18" t="s">
        <v>343</v>
      </c>
      <c r="E61" s="18" t="str">
        <f>'PRODUCTOS PLANTA PRODUCCION'!A45</f>
        <v>PR044</v>
      </c>
      <c r="F61" s="17" t="s">
        <v>168</v>
      </c>
      <c r="G61" s="17">
        <v>250</v>
      </c>
      <c r="H61" s="17" t="s">
        <v>309</v>
      </c>
    </row>
    <row r="62" spans="1:8" x14ac:dyDescent="0.3">
      <c r="A62" s="17" t="s">
        <v>341</v>
      </c>
      <c r="B62" s="17" t="s">
        <v>342</v>
      </c>
      <c r="C62" s="18">
        <v>7</v>
      </c>
      <c r="D62" s="18" t="s">
        <v>343</v>
      </c>
      <c r="E62" s="18" t="str">
        <f>'PRODUCTOS PLANTA PRODUCCION'!A46</f>
        <v>PR045</v>
      </c>
      <c r="F62" s="17" t="s">
        <v>347</v>
      </c>
      <c r="G62" s="17">
        <v>750</v>
      </c>
      <c r="H62" s="17" t="s">
        <v>309</v>
      </c>
    </row>
    <row r="63" spans="1:8" x14ac:dyDescent="0.3">
      <c r="A63" s="17" t="s">
        <v>341</v>
      </c>
      <c r="B63" s="17" t="s">
        <v>342</v>
      </c>
      <c r="C63" s="18">
        <v>7</v>
      </c>
      <c r="D63" s="18" t="s">
        <v>343</v>
      </c>
      <c r="E63" s="18" t="str">
        <f>E51</f>
        <v>PR005</v>
      </c>
      <c r="F63" s="17" t="s">
        <v>315</v>
      </c>
      <c r="G63" s="17">
        <v>1000</v>
      </c>
      <c r="H63" s="17" t="s">
        <v>309</v>
      </c>
    </row>
    <row r="64" spans="1:8" x14ac:dyDescent="0.3">
      <c r="A64" s="17" t="s">
        <v>341</v>
      </c>
      <c r="B64" s="17" t="s">
        <v>342</v>
      </c>
      <c r="C64" s="18">
        <v>7</v>
      </c>
      <c r="D64" s="18" t="s">
        <v>343</v>
      </c>
      <c r="E64" s="18" t="str">
        <f>E52</f>
        <v>PR026</v>
      </c>
      <c r="F64" s="17" t="s">
        <v>330</v>
      </c>
      <c r="G64" s="17">
        <v>50</v>
      </c>
      <c r="H64" s="17" t="s">
        <v>309</v>
      </c>
    </row>
    <row r="65" spans="1:8" x14ac:dyDescent="0.3">
      <c r="A65" s="17" t="s">
        <v>341</v>
      </c>
      <c r="B65" s="17" t="s">
        <v>342</v>
      </c>
      <c r="C65" s="18">
        <v>7</v>
      </c>
      <c r="D65" s="18" t="s">
        <v>343</v>
      </c>
      <c r="E65" s="18" t="str">
        <f>'PRODUCTOS PLANTA PRODUCCION'!A67</f>
        <v>PR066</v>
      </c>
      <c r="F65" s="17" t="s">
        <v>348</v>
      </c>
      <c r="G65" s="17">
        <v>5000</v>
      </c>
      <c r="H65" s="17" t="s">
        <v>309</v>
      </c>
    </row>
    <row r="66" spans="1:8" x14ac:dyDescent="0.3">
      <c r="A66" s="17" t="s">
        <v>341</v>
      </c>
      <c r="B66" s="17" t="s">
        <v>342</v>
      </c>
      <c r="C66" s="18">
        <v>7</v>
      </c>
      <c r="D66" s="18" t="s">
        <v>343</v>
      </c>
      <c r="E66" s="18" t="s">
        <v>275</v>
      </c>
      <c r="F66" s="17" t="s">
        <v>191</v>
      </c>
      <c r="G66" s="17">
        <v>1</v>
      </c>
      <c r="H66" s="17" t="s">
        <v>108</v>
      </c>
    </row>
    <row r="69" spans="1:8" x14ac:dyDescent="0.3">
      <c r="A69" s="17" t="s">
        <v>349</v>
      </c>
      <c r="B69" s="17" t="s">
        <v>350</v>
      </c>
      <c r="C69" s="18">
        <v>13</v>
      </c>
      <c r="D69" s="18" t="s">
        <v>336</v>
      </c>
      <c r="E69" s="18" t="str">
        <f>'PRODUCTOS PLANTA PRODUCCION'!A25</f>
        <v>PR024</v>
      </c>
      <c r="F69" s="17" t="str">
        <f>'PRODUCTOS PLANTA PRODUCCION'!B25</f>
        <v>Pimienta entera negra</v>
      </c>
      <c r="G69" s="17">
        <v>90</v>
      </c>
      <c r="H69" s="17" t="s">
        <v>309</v>
      </c>
    </row>
    <row r="70" spans="1:8" x14ac:dyDescent="0.3">
      <c r="A70" s="17" t="s">
        <v>349</v>
      </c>
      <c r="B70" s="17" t="s">
        <v>350</v>
      </c>
      <c r="C70" s="18">
        <v>13</v>
      </c>
      <c r="D70" s="18" t="s">
        <v>336</v>
      </c>
      <c r="E70" s="18" t="str">
        <f>'PRODUCTOS PLANTA PRODUCCION'!A24</f>
        <v>PR023</v>
      </c>
      <c r="F70" s="17" t="str">
        <f>'PRODUCTOS PLANTA PRODUCCION'!B24</f>
        <v>Pimienta entera blanca</v>
      </c>
      <c r="G70" s="17">
        <v>90</v>
      </c>
      <c r="H70" s="17" t="s">
        <v>309</v>
      </c>
    </row>
    <row r="71" spans="1:8" x14ac:dyDescent="0.3">
      <c r="A71" s="17" t="s">
        <v>349</v>
      </c>
      <c r="B71" s="17" t="s">
        <v>350</v>
      </c>
      <c r="C71" s="18">
        <v>13</v>
      </c>
      <c r="D71" s="18" t="s">
        <v>336</v>
      </c>
      <c r="E71" s="18" t="str">
        <f>'PRODUCTOS PLANTA PRODUCCION'!A14</f>
        <v>PR013</v>
      </c>
      <c r="F71" s="17" t="s">
        <v>351</v>
      </c>
      <c r="G71" s="17">
        <v>24</v>
      </c>
      <c r="H71" s="17" t="s">
        <v>309</v>
      </c>
    </row>
    <row r="72" spans="1:8" x14ac:dyDescent="0.3">
      <c r="A72" s="17" t="s">
        <v>349</v>
      </c>
      <c r="B72" s="17" t="s">
        <v>350</v>
      </c>
      <c r="C72" s="18">
        <v>13</v>
      </c>
      <c r="D72" s="18" t="s">
        <v>336</v>
      </c>
      <c r="E72" s="18" t="str">
        <f>'PRODUCTOS PLANTA PRODUCCION'!A26</f>
        <v>PR025</v>
      </c>
      <c r="F72" s="17" t="str">
        <f>'PRODUCTOS PLANTA PRODUCCION'!B26</f>
        <v>Pimienta de olor-Jamica</v>
      </c>
      <c r="G72" s="17">
        <v>27</v>
      </c>
      <c r="H72" s="17" t="s">
        <v>309</v>
      </c>
    </row>
    <row r="73" spans="1:8" x14ac:dyDescent="0.3">
      <c r="A73" s="17" t="s">
        <v>349</v>
      </c>
      <c r="B73" s="17" t="s">
        <v>350</v>
      </c>
      <c r="C73" s="18">
        <v>13</v>
      </c>
      <c r="D73" s="18" t="s">
        <v>336</v>
      </c>
      <c r="E73" s="18" t="str">
        <f>'PRODUCTOS PLANTA PRODUCCION'!A23</f>
        <v>PR022</v>
      </c>
      <c r="F73" s="17" t="str">
        <f>'PRODUCTOS PLANTA PRODUCCION'!B23</f>
        <v>Oregano en escamas</v>
      </c>
      <c r="G73" s="17">
        <v>27</v>
      </c>
      <c r="H73" s="17" t="s">
        <v>309</v>
      </c>
    </row>
    <row r="74" spans="1:8" x14ac:dyDescent="0.3">
      <c r="A74" s="17" t="s">
        <v>349</v>
      </c>
      <c r="B74" s="17" t="s">
        <v>350</v>
      </c>
      <c r="C74" s="18">
        <v>13</v>
      </c>
      <c r="D74" s="18" t="s">
        <v>336</v>
      </c>
      <c r="E74" s="18" t="str">
        <f>'PRODUCTOS PLANTA PRODUCCION'!A83</f>
        <v>PR072</v>
      </c>
      <c r="F74" s="17" t="s">
        <v>203</v>
      </c>
      <c r="G74" s="17">
        <v>180</v>
      </c>
      <c r="H74" s="17" t="s">
        <v>309</v>
      </c>
    </row>
    <row r="75" spans="1:8" x14ac:dyDescent="0.3">
      <c r="A75" s="17" t="s">
        <v>349</v>
      </c>
      <c r="B75" s="17" t="s">
        <v>350</v>
      </c>
      <c r="C75" s="18">
        <v>13</v>
      </c>
      <c r="D75" s="18" t="s">
        <v>336</v>
      </c>
      <c r="E75" s="18" t="str">
        <f>'PRODUCTOS PLANTA PRODUCCION'!A22</f>
        <v>PR021</v>
      </c>
      <c r="F75" s="17" t="s">
        <v>352</v>
      </c>
      <c r="G75" s="17">
        <v>26</v>
      </c>
      <c r="H75" s="17" t="s">
        <v>309</v>
      </c>
    </row>
    <row r="76" spans="1:8" x14ac:dyDescent="0.3">
      <c r="A76" s="17" t="s">
        <v>349</v>
      </c>
      <c r="B76" s="17" t="s">
        <v>350</v>
      </c>
      <c r="C76" s="18">
        <v>13</v>
      </c>
      <c r="D76" s="18" t="s">
        <v>336</v>
      </c>
      <c r="E76" s="18" t="str">
        <f>'PRODUCTOS PLANTA PRODUCCION'!A42</f>
        <v>PR041</v>
      </c>
      <c r="F76" s="17" t="s">
        <v>353</v>
      </c>
      <c r="G76" s="17">
        <v>30</v>
      </c>
      <c r="H76" s="17" t="s">
        <v>309</v>
      </c>
    </row>
    <row r="77" spans="1:8" x14ac:dyDescent="0.3">
      <c r="A77" s="17" t="s">
        <v>349</v>
      </c>
      <c r="B77" s="17" t="s">
        <v>350</v>
      </c>
      <c r="C77" s="18">
        <v>13</v>
      </c>
      <c r="D77" s="18" t="s">
        <v>336</v>
      </c>
      <c r="E77" s="18" t="str">
        <f>'PRODUCTOS PLANTA PRODUCCION'!A21</f>
        <v>PR020</v>
      </c>
      <c r="F77" s="17" t="s">
        <v>144</v>
      </c>
      <c r="G77" s="17">
        <v>36</v>
      </c>
      <c r="H77" s="17" t="s">
        <v>309</v>
      </c>
    </row>
    <row r="78" spans="1:8" x14ac:dyDescent="0.3">
      <c r="A78" s="17" t="s">
        <v>349</v>
      </c>
      <c r="B78" s="17" t="s">
        <v>350</v>
      </c>
      <c r="C78" s="18">
        <v>13</v>
      </c>
      <c r="D78" s="18" t="s">
        <v>336</v>
      </c>
      <c r="E78" s="18" t="str">
        <f>E63</f>
        <v>PR005</v>
      </c>
      <c r="F78" s="17" t="s">
        <v>315</v>
      </c>
      <c r="G78" s="17">
        <v>900</v>
      </c>
      <c r="H78" s="17" t="s">
        <v>309</v>
      </c>
    </row>
    <row r="79" spans="1:8" x14ac:dyDescent="0.3">
      <c r="A79" s="17" t="s">
        <v>349</v>
      </c>
      <c r="B79" s="17" t="s">
        <v>350</v>
      </c>
      <c r="C79" s="18">
        <v>13</v>
      </c>
      <c r="D79" s="18" t="s">
        <v>336</v>
      </c>
      <c r="E79" s="18" t="str">
        <f>'PRODUCTOS PLANTA PRODUCCION'!A11</f>
        <v>PR010</v>
      </c>
      <c r="F79" s="17" t="s">
        <v>354</v>
      </c>
      <c r="G79" s="17">
        <v>90</v>
      </c>
      <c r="H79" s="17" t="s">
        <v>309</v>
      </c>
    </row>
    <row r="80" spans="1:8" x14ac:dyDescent="0.3">
      <c r="A80" s="17" t="s">
        <v>349</v>
      </c>
      <c r="B80" s="17" t="s">
        <v>350</v>
      </c>
      <c r="C80" s="18">
        <v>13</v>
      </c>
      <c r="D80" s="18" t="s">
        <v>336</v>
      </c>
      <c r="E80" s="18" t="str">
        <f>'PRODUCTOS PLANTA PRODUCCION'!A13</f>
        <v>PR012</v>
      </c>
      <c r="F80" s="17" t="s">
        <v>355</v>
      </c>
      <c r="G80" s="17">
        <v>180</v>
      </c>
      <c r="H80" s="17" t="s">
        <v>309</v>
      </c>
    </row>
    <row r="81" spans="1:8" x14ac:dyDescent="0.3">
      <c r="A81" s="17" t="s">
        <v>349</v>
      </c>
      <c r="B81" s="17" t="s">
        <v>350</v>
      </c>
      <c r="C81" s="18">
        <v>13</v>
      </c>
      <c r="D81" s="18" t="s">
        <v>336</v>
      </c>
      <c r="E81" s="18" t="str">
        <f>'PRODUCTOS PLANTA PRODUCCION'!A5</f>
        <v>PR004</v>
      </c>
      <c r="F81" s="17" t="s">
        <v>356</v>
      </c>
      <c r="G81" s="17">
        <v>300</v>
      </c>
      <c r="H81" s="17" t="s">
        <v>309</v>
      </c>
    </row>
    <row r="82" spans="1:8" x14ac:dyDescent="0.3">
      <c r="A82" s="17" t="s">
        <v>349</v>
      </c>
      <c r="B82" s="17" t="s">
        <v>350</v>
      </c>
      <c r="C82" s="18">
        <v>13</v>
      </c>
      <c r="D82" s="18" t="s">
        <v>336</v>
      </c>
      <c r="E82" s="18" t="str">
        <f>'PRODUCTOS PLANTA PRODUCCION'!A82</f>
        <v>PR071</v>
      </c>
      <c r="F82" s="17" t="s">
        <v>202</v>
      </c>
      <c r="G82" s="17">
        <v>3600</v>
      </c>
      <c r="H82" s="17" t="s">
        <v>309</v>
      </c>
    </row>
    <row r="83" spans="1:8" x14ac:dyDescent="0.3">
      <c r="A83" s="17" t="s">
        <v>349</v>
      </c>
      <c r="B83" s="17" t="s">
        <v>350</v>
      </c>
      <c r="C83" s="18">
        <v>13</v>
      </c>
      <c r="D83" s="18" t="s">
        <v>336</v>
      </c>
      <c r="E83" s="18" t="str">
        <f>'PRODUCTOS PLANTA PRODUCCION'!A96</f>
        <v>PR082</v>
      </c>
      <c r="F83" s="17" t="s">
        <v>357</v>
      </c>
      <c r="G83" s="17">
        <v>7200</v>
      </c>
      <c r="H83" s="17" t="s">
        <v>325</v>
      </c>
    </row>
    <row r="84" spans="1:8" x14ac:dyDescent="0.3">
      <c r="A84" s="17" t="s">
        <v>349</v>
      </c>
      <c r="B84" s="17" t="s">
        <v>350</v>
      </c>
      <c r="C84" s="18">
        <v>13</v>
      </c>
      <c r="D84" s="18" t="s">
        <v>336</v>
      </c>
      <c r="E84" s="18" t="s">
        <v>275</v>
      </c>
      <c r="F84" s="17" t="s">
        <v>191</v>
      </c>
      <c r="G84" s="17">
        <v>2</v>
      </c>
      <c r="H84" s="17" t="s">
        <v>108</v>
      </c>
    </row>
    <row r="87" spans="1:8" x14ac:dyDescent="0.3">
      <c r="A87" s="17" t="s">
        <v>358</v>
      </c>
      <c r="B87" s="17" t="s">
        <v>359</v>
      </c>
      <c r="C87" s="18">
        <v>35</v>
      </c>
      <c r="D87" s="18" t="s">
        <v>360</v>
      </c>
      <c r="E87" s="18" t="str">
        <f>'PRODUCTOS PLANTA PRODUCCION'!A16</f>
        <v>PR015</v>
      </c>
      <c r="F87" s="17" t="str">
        <f>'PRODUCTOS PLANTA PRODUCCION'!B16</f>
        <v xml:space="preserve">Grasa de pecho </v>
      </c>
      <c r="G87" s="17">
        <v>70000</v>
      </c>
      <c r="H87" s="17" t="s">
        <v>309</v>
      </c>
    </row>
    <row r="88" spans="1:8" x14ac:dyDescent="0.3">
      <c r="A88" s="17" t="s">
        <v>358</v>
      </c>
      <c r="B88" s="17" t="s">
        <v>359</v>
      </c>
      <c r="C88" s="18">
        <v>35</v>
      </c>
      <c r="D88" s="18" t="s">
        <v>360</v>
      </c>
      <c r="E88" s="18" t="str">
        <f>'PRODUCTOS PLANTA PRODUCCION'!A29</f>
        <v>PR028</v>
      </c>
      <c r="F88" s="17" t="s">
        <v>338</v>
      </c>
      <c r="G88" s="17">
        <v>7000</v>
      </c>
      <c r="H88" s="17" t="s">
        <v>309</v>
      </c>
    </row>
    <row r="89" spans="1:8" x14ac:dyDescent="0.3">
      <c r="A89" s="17" t="s">
        <v>358</v>
      </c>
      <c r="B89" s="17" t="s">
        <v>359</v>
      </c>
      <c r="C89" s="18">
        <v>35</v>
      </c>
      <c r="D89" s="18" t="s">
        <v>360</v>
      </c>
      <c r="E89" s="18" t="str">
        <f>'PRODUCTOS PLANTA PRODUCCION'!A13</f>
        <v>PR012</v>
      </c>
      <c r="F89" s="17" t="s">
        <v>355</v>
      </c>
      <c r="G89" s="17">
        <v>350</v>
      </c>
      <c r="H89" s="17" t="s">
        <v>309</v>
      </c>
    </row>
    <row r="90" spans="1:8" x14ac:dyDescent="0.3">
      <c r="A90" s="17" t="s">
        <v>358</v>
      </c>
      <c r="B90" s="17" t="s">
        <v>359</v>
      </c>
      <c r="C90" s="18">
        <v>35</v>
      </c>
      <c r="D90" s="18" t="s">
        <v>360</v>
      </c>
      <c r="E90" s="18" t="str">
        <f>'PRODUCTOS PLANTA PRODUCCION'!A12</f>
        <v>PR011</v>
      </c>
      <c r="F90" s="17" t="s">
        <v>337</v>
      </c>
      <c r="G90" s="17">
        <v>140</v>
      </c>
      <c r="H90" s="17" t="s">
        <v>309</v>
      </c>
    </row>
    <row r="91" spans="1:8" x14ac:dyDescent="0.3">
      <c r="A91" s="17" t="s">
        <v>358</v>
      </c>
      <c r="B91" s="17" t="s">
        <v>359</v>
      </c>
      <c r="C91" s="18">
        <v>35</v>
      </c>
      <c r="D91" s="18" t="s">
        <v>360</v>
      </c>
      <c r="E91" s="18" t="str">
        <f>'PRODUCTOS PLANTA PRODUCCION'!A11</f>
        <v>PR010</v>
      </c>
      <c r="F91" s="17" t="s">
        <v>361</v>
      </c>
      <c r="G91" s="17">
        <v>350</v>
      </c>
      <c r="H91" s="17" t="s">
        <v>309</v>
      </c>
    </row>
    <row r="92" spans="1:8" x14ac:dyDescent="0.3">
      <c r="A92" s="17" t="s">
        <v>358</v>
      </c>
      <c r="B92" s="17" t="s">
        <v>359</v>
      </c>
      <c r="C92" s="18">
        <v>35</v>
      </c>
      <c r="D92" s="18" t="s">
        <v>360</v>
      </c>
      <c r="E92" s="18" t="str">
        <f>'PRODUCTOS PLANTA PRODUCCION'!A79</f>
        <v>PR068</v>
      </c>
      <c r="F92" s="17" t="s">
        <v>362</v>
      </c>
      <c r="G92" s="17">
        <v>455</v>
      </c>
      <c r="H92" s="17" t="s">
        <v>309</v>
      </c>
    </row>
    <row r="93" spans="1:8" x14ac:dyDescent="0.3">
      <c r="A93" s="17" t="s">
        <v>358</v>
      </c>
      <c r="B93" s="17" t="s">
        <v>359</v>
      </c>
      <c r="C93" s="18">
        <v>35</v>
      </c>
      <c r="D93" s="18" t="s">
        <v>360</v>
      </c>
      <c r="E93" s="18" t="str">
        <f>'PRODUCTOS PLANTA PRODUCCION'!A6</f>
        <v>PR005</v>
      </c>
      <c r="F93" s="17" t="s">
        <v>363</v>
      </c>
      <c r="G93" s="17">
        <v>500</v>
      </c>
      <c r="H93" s="17" t="s">
        <v>309</v>
      </c>
    </row>
    <row r="94" spans="1:8" x14ac:dyDescent="0.3">
      <c r="A94" s="17" t="s">
        <v>358</v>
      </c>
      <c r="B94" s="17" t="s">
        <v>359</v>
      </c>
      <c r="C94" s="18">
        <v>35</v>
      </c>
      <c r="D94" s="18" t="s">
        <v>360</v>
      </c>
      <c r="E94" s="18" t="str">
        <f>'PRODUCTOS PLANTA PRODUCCION'!A5</f>
        <v>PR004</v>
      </c>
      <c r="F94" s="17" t="s">
        <v>356</v>
      </c>
      <c r="G94" s="17">
        <v>250</v>
      </c>
      <c r="H94" s="17" t="s">
        <v>309</v>
      </c>
    </row>
    <row r="95" spans="1:8" x14ac:dyDescent="0.3">
      <c r="A95" s="17" t="s">
        <v>358</v>
      </c>
      <c r="B95" s="17" t="s">
        <v>359</v>
      </c>
      <c r="C95" s="18">
        <v>35</v>
      </c>
      <c r="D95" s="18" t="s">
        <v>360</v>
      </c>
      <c r="E95" s="18" t="s">
        <v>275</v>
      </c>
      <c r="F95" s="17" t="s">
        <v>191</v>
      </c>
      <c r="G95" s="17">
        <v>4</v>
      </c>
      <c r="H95" s="17" t="s">
        <v>108</v>
      </c>
    </row>
    <row r="98" spans="1:8" x14ac:dyDescent="0.3">
      <c r="A98" s="17" t="s">
        <v>364</v>
      </c>
      <c r="B98" s="17" t="s">
        <v>365</v>
      </c>
      <c r="C98" s="18">
        <v>2</v>
      </c>
      <c r="D98" s="18" t="s">
        <v>360</v>
      </c>
      <c r="E98" s="18" t="str">
        <f>'PRODUCTOS PLANTA PRODUCCION'!A17</f>
        <v>PR016</v>
      </c>
      <c r="F98" s="17" t="s">
        <v>140</v>
      </c>
      <c r="G98" s="17">
        <v>2500</v>
      </c>
      <c r="H98" s="17" t="s">
        <v>309</v>
      </c>
    </row>
    <row r="99" spans="1:8" x14ac:dyDescent="0.3">
      <c r="A99" s="17" t="s">
        <v>364</v>
      </c>
      <c r="B99" s="17" t="s">
        <v>365</v>
      </c>
      <c r="C99" s="18">
        <v>2</v>
      </c>
      <c r="D99" s="18" t="s">
        <v>360</v>
      </c>
      <c r="E99" s="18" t="str">
        <f>'PRODUCTOS PLANTA PRODUCCION'!A28</f>
        <v>PR027</v>
      </c>
      <c r="F99" s="17" t="s">
        <v>366</v>
      </c>
      <c r="G99" s="17">
        <v>50</v>
      </c>
      <c r="H99" s="17" t="s">
        <v>309</v>
      </c>
    </row>
    <row r="100" spans="1:8" x14ac:dyDescent="0.3">
      <c r="A100" s="17" t="s">
        <v>364</v>
      </c>
      <c r="B100" s="17" t="s">
        <v>365</v>
      </c>
      <c r="C100" s="18">
        <v>2</v>
      </c>
      <c r="D100" s="18" t="s">
        <v>360</v>
      </c>
      <c r="E100" s="18" t="s">
        <v>276</v>
      </c>
      <c r="F100" s="17" t="s">
        <v>191</v>
      </c>
      <c r="G100" s="17">
        <v>1</v>
      </c>
      <c r="H100" s="17" t="s">
        <v>108</v>
      </c>
    </row>
    <row r="103" spans="1:8" x14ac:dyDescent="0.3">
      <c r="A103" s="17" t="s">
        <v>367</v>
      </c>
      <c r="B103" s="17" t="s">
        <v>419</v>
      </c>
      <c r="C103" s="18">
        <v>53</v>
      </c>
      <c r="D103" s="18" t="s">
        <v>360</v>
      </c>
      <c r="E103" s="18" t="s">
        <v>35</v>
      </c>
      <c r="F103" s="17" t="s">
        <v>129</v>
      </c>
      <c r="G103" s="17">
        <v>400</v>
      </c>
      <c r="H103" s="17" t="s">
        <v>309</v>
      </c>
    </row>
    <row r="104" spans="1:8" x14ac:dyDescent="0.3">
      <c r="A104" s="17" t="s">
        <v>367</v>
      </c>
      <c r="B104" s="17" t="s">
        <v>419</v>
      </c>
      <c r="C104" s="18">
        <v>53</v>
      </c>
      <c r="D104" s="18" t="s">
        <v>360</v>
      </c>
      <c r="E104" s="18" t="s">
        <v>36</v>
      </c>
      <c r="F104" s="17" t="s">
        <v>363</v>
      </c>
      <c r="G104" s="17">
        <v>600</v>
      </c>
      <c r="H104" s="17" t="s">
        <v>309</v>
      </c>
    </row>
    <row r="105" spans="1:8" x14ac:dyDescent="0.3">
      <c r="A105" s="17" t="s">
        <v>367</v>
      </c>
      <c r="B105" s="17" t="s">
        <v>419</v>
      </c>
      <c r="C105" s="18">
        <v>53</v>
      </c>
      <c r="D105" s="18" t="s">
        <v>360</v>
      </c>
      <c r="E105" s="18" t="s">
        <v>37</v>
      </c>
      <c r="F105" s="17" t="s">
        <v>315</v>
      </c>
      <c r="G105" s="17">
        <v>480</v>
      </c>
      <c r="H105" s="17" t="s">
        <v>309</v>
      </c>
    </row>
    <row r="106" spans="1:8" x14ac:dyDescent="0.3">
      <c r="A106" s="17" t="s">
        <v>367</v>
      </c>
      <c r="B106" s="17" t="s">
        <v>419</v>
      </c>
      <c r="C106" s="18">
        <v>53</v>
      </c>
      <c r="D106" s="18" t="s">
        <v>360</v>
      </c>
      <c r="E106" s="18" t="s">
        <v>38</v>
      </c>
      <c r="F106" s="17" t="s">
        <v>368</v>
      </c>
      <c r="G106" s="17">
        <v>200</v>
      </c>
      <c r="H106" s="17" t="s">
        <v>309</v>
      </c>
    </row>
    <row r="107" spans="1:8" x14ac:dyDescent="0.3">
      <c r="A107" s="17" t="s">
        <v>367</v>
      </c>
      <c r="B107" s="17" t="s">
        <v>419</v>
      </c>
      <c r="C107" s="18">
        <v>53</v>
      </c>
      <c r="D107" s="18" t="s">
        <v>360</v>
      </c>
      <c r="E107" s="18" t="s">
        <v>39</v>
      </c>
      <c r="F107" s="17" t="s">
        <v>369</v>
      </c>
      <c r="G107" s="17">
        <v>200</v>
      </c>
      <c r="H107" s="17" t="s">
        <v>309</v>
      </c>
    </row>
    <row r="108" spans="1:8" x14ac:dyDescent="0.3">
      <c r="A108" s="17" t="s">
        <v>367</v>
      </c>
      <c r="B108" s="17" t="s">
        <v>419</v>
      </c>
      <c r="C108" s="18">
        <v>53</v>
      </c>
      <c r="D108" s="18" t="s">
        <v>360</v>
      </c>
      <c r="E108" s="18" t="s">
        <v>115</v>
      </c>
      <c r="F108" s="17" t="s">
        <v>339</v>
      </c>
      <c r="G108" s="17">
        <v>1600</v>
      </c>
      <c r="H108" s="17" t="s">
        <v>309</v>
      </c>
    </row>
    <row r="109" spans="1:8" x14ac:dyDescent="0.3">
      <c r="A109" s="17" t="s">
        <v>367</v>
      </c>
      <c r="B109" s="17" t="s">
        <v>419</v>
      </c>
      <c r="C109" s="18">
        <v>53</v>
      </c>
      <c r="D109" s="18" t="s">
        <v>360</v>
      </c>
      <c r="E109" s="18" t="s">
        <v>116</v>
      </c>
      <c r="F109" s="17" t="s">
        <v>354</v>
      </c>
      <c r="G109" s="17">
        <v>640</v>
      </c>
      <c r="H109" s="17" t="s">
        <v>370</v>
      </c>
    </row>
    <row r="110" spans="1:8" x14ac:dyDescent="0.3">
      <c r="A110" s="17" t="s">
        <v>367</v>
      </c>
      <c r="B110" s="17" t="s">
        <v>419</v>
      </c>
      <c r="C110" s="18">
        <v>53</v>
      </c>
      <c r="D110" s="18" t="s">
        <v>360</v>
      </c>
      <c r="E110" s="18" t="s">
        <v>117</v>
      </c>
      <c r="F110" s="17" t="s">
        <v>344</v>
      </c>
      <c r="G110" s="17">
        <v>48</v>
      </c>
      <c r="H110" s="17" t="s">
        <v>309</v>
      </c>
    </row>
    <row r="111" spans="1:8" x14ac:dyDescent="0.3">
      <c r="A111" s="17" t="s">
        <v>367</v>
      </c>
      <c r="B111" s="17" t="s">
        <v>419</v>
      </c>
      <c r="C111" s="18">
        <v>53</v>
      </c>
      <c r="D111" s="18" t="s">
        <v>360</v>
      </c>
      <c r="E111" s="18" t="s">
        <v>219</v>
      </c>
      <c r="F111" s="17" t="s">
        <v>355</v>
      </c>
      <c r="G111" s="17">
        <v>800</v>
      </c>
      <c r="H111" s="17" t="s">
        <v>309</v>
      </c>
    </row>
    <row r="112" spans="1:8" x14ac:dyDescent="0.3">
      <c r="A112" s="17" t="s">
        <v>367</v>
      </c>
      <c r="B112" s="17" t="s">
        <v>419</v>
      </c>
      <c r="C112" s="18">
        <v>53</v>
      </c>
      <c r="D112" s="18" t="s">
        <v>360</v>
      </c>
      <c r="E112" s="18" t="s">
        <v>220</v>
      </c>
      <c r="F112" s="17" t="s">
        <v>351</v>
      </c>
      <c r="G112" s="17">
        <v>8</v>
      </c>
      <c r="H112" s="17" t="s">
        <v>309</v>
      </c>
    </row>
    <row r="113" spans="1:8" x14ac:dyDescent="0.3">
      <c r="A113" s="17" t="s">
        <v>367</v>
      </c>
      <c r="B113" s="17" t="s">
        <v>419</v>
      </c>
      <c r="C113" s="18">
        <v>53</v>
      </c>
      <c r="D113" s="18" t="s">
        <v>360</v>
      </c>
      <c r="E113" s="18" t="s">
        <v>221</v>
      </c>
      <c r="F113" s="17" t="s">
        <v>371</v>
      </c>
      <c r="G113" s="17">
        <v>32</v>
      </c>
      <c r="H113" s="17" t="s">
        <v>309</v>
      </c>
    </row>
    <row r="114" spans="1:8" x14ac:dyDescent="0.3">
      <c r="A114" s="17" t="s">
        <v>367</v>
      </c>
      <c r="B114" s="17" t="s">
        <v>419</v>
      </c>
      <c r="C114" s="18">
        <v>53</v>
      </c>
      <c r="D114" s="18" t="s">
        <v>360</v>
      </c>
      <c r="E114" s="18" t="s">
        <v>32</v>
      </c>
      <c r="F114" s="17" t="s">
        <v>372</v>
      </c>
      <c r="G114" s="17">
        <v>80000</v>
      </c>
      <c r="H114" s="17" t="s">
        <v>309</v>
      </c>
    </row>
    <row r="115" spans="1:8" x14ac:dyDescent="0.3">
      <c r="A115" s="17" t="s">
        <v>367</v>
      </c>
      <c r="B115" s="17" t="s">
        <v>419</v>
      </c>
      <c r="C115" s="18">
        <v>53</v>
      </c>
      <c r="D115" s="18" t="s">
        <v>360</v>
      </c>
      <c r="E115" s="18" t="s">
        <v>226</v>
      </c>
      <c r="F115" s="17" t="s">
        <v>373</v>
      </c>
      <c r="G115" s="17">
        <v>80</v>
      </c>
      <c r="H115" s="17" t="s">
        <v>309</v>
      </c>
    </row>
    <row r="116" spans="1:8" x14ac:dyDescent="0.3">
      <c r="A116" s="17" t="s">
        <v>367</v>
      </c>
      <c r="B116" s="17" t="s">
        <v>419</v>
      </c>
      <c r="C116" s="18">
        <v>53</v>
      </c>
      <c r="D116" s="18" t="s">
        <v>360</v>
      </c>
      <c r="E116" s="18" t="s">
        <v>229</v>
      </c>
      <c r="F116" s="17" t="s">
        <v>374</v>
      </c>
      <c r="G116" s="17">
        <v>24</v>
      </c>
      <c r="H116" s="17" t="s">
        <v>309</v>
      </c>
    </row>
    <row r="117" spans="1:8" x14ac:dyDescent="0.3">
      <c r="A117" s="17" t="s">
        <v>367</v>
      </c>
      <c r="B117" s="17" t="s">
        <v>419</v>
      </c>
      <c r="C117" s="18">
        <v>53</v>
      </c>
      <c r="D117" s="18" t="s">
        <v>360</v>
      </c>
      <c r="E117" s="18" t="s">
        <v>230</v>
      </c>
      <c r="F117" s="17" t="s">
        <v>375</v>
      </c>
      <c r="G117" s="17">
        <v>80</v>
      </c>
      <c r="H117" s="17" t="s">
        <v>309</v>
      </c>
    </row>
    <row r="118" spans="1:8" x14ac:dyDescent="0.3">
      <c r="A118" s="17" t="s">
        <v>367</v>
      </c>
      <c r="B118" s="17" t="s">
        <v>419</v>
      </c>
      <c r="C118" s="18">
        <v>53</v>
      </c>
      <c r="D118" s="18" t="s">
        <v>360</v>
      </c>
      <c r="E118" s="18" t="s">
        <v>232</v>
      </c>
      <c r="F118" s="17" t="s">
        <v>376</v>
      </c>
      <c r="G118" s="17">
        <v>120</v>
      </c>
      <c r="H118" s="17" t="s">
        <v>309</v>
      </c>
    </row>
    <row r="119" spans="1:8" x14ac:dyDescent="0.3">
      <c r="A119" s="17" t="s">
        <v>367</v>
      </c>
      <c r="B119" s="17" t="s">
        <v>419</v>
      </c>
      <c r="C119" s="18">
        <v>53</v>
      </c>
      <c r="D119" s="18" t="s">
        <v>360</v>
      </c>
      <c r="E119" s="18" t="s">
        <v>231</v>
      </c>
      <c r="F119" s="17" t="s">
        <v>377</v>
      </c>
      <c r="G119" s="17">
        <v>120</v>
      </c>
      <c r="H119" s="17" t="s">
        <v>309</v>
      </c>
    </row>
    <row r="120" spans="1:8" x14ac:dyDescent="0.3">
      <c r="A120" s="17" t="s">
        <v>367</v>
      </c>
      <c r="B120" s="17" t="s">
        <v>419</v>
      </c>
      <c r="C120" s="18">
        <v>53</v>
      </c>
      <c r="D120" s="18" t="s">
        <v>360</v>
      </c>
      <c r="E120" s="18" t="s">
        <v>234</v>
      </c>
      <c r="F120" s="17" t="s">
        <v>378</v>
      </c>
      <c r="G120" s="17">
        <v>2000</v>
      </c>
      <c r="H120" s="17" t="s">
        <v>309</v>
      </c>
    </row>
    <row r="121" spans="1:8" x14ac:dyDescent="0.3">
      <c r="A121" s="17" t="s">
        <v>367</v>
      </c>
      <c r="B121" s="17" t="s">
        <v>419</v>
      </c>
      <c r="C121" s="18">
        <v>53</v>
      </c>
      <c r="D121" s="18" t="s">
        <v>360</v>
      </c>
      <c r="E121" s="18" t="s">
        <v>235</v>
      </c>
      <c r="F121" s="17" t="s">
        <v>379</v>
      </c>
      <c r="G121" s="17">
        <v>9600</v>
      </c>
      <c r="H121" s="17" t="s">
        <v>309</v>
      </c>
    </row>
    <row r="122" spans="1:8" x14ac:dyDescent="0.3">
      <c r="A122" s="17" t="s">
        <v>367</v>
      </c>
      <c r="B122" s="17" t="s">
        <v>419</v>
      </c>
      <c r="C122" s="18">
        <v>53</v>
      </c>
      <c r="D122" s="18" t="s">
        <v>360</v>
      </c>
      <c r="E122" s="18" t="s">
        <v>275</v>
      </c>
      <c r="F122" s="17" t="s">
        <v>191</v>
      </c>
      <c r="G122" s="17">
        <v>5.3</v>
      </c>
      <c r="H122" s="17" t="s">
        <v>108</v>
      </c>
    </row>
    <row r="125" spans="1:8" x14ac:dyDescent="0.3">
      <c r="A125" s="17" t="s">
        <v>380</v>
      </c>
      <c r="B125" s="17" t="s">
        <v>381</v>
      </c>
      <c r="C125" s="18">
        <v>120</v>
      </c>
      <c r="D125" s="18" t="s">
        <v>336</v>
      </c>
      <c r="E125" s="18" t="s">
        <v>35</v>
      </c>
      <c r="F125" s="17" t="s">
        <v>129</v>
      </c>
      <c r="G125" s="17">
        <v>240</v>
      </c>
      <c r="H125" s="17" t="s">
        <v>309</v>
      </c>
    </row>
    <row r="126" spans="1:8" x14ac:dyDescent="0.3">
      <c r="A126" s="17" t="s">
        <v>380</v>
      </c>
      <c r="B126" s="17" t="s">
        <v>381</v>
      </c>
      <c r="C126" s="18">
        <v>120</v>
      </c>
      <c r="D126" s="18" t="s">
        <v>336</v>
      </c>
      <c r="E126" s="18" t="s">
        <v>36</v>
      </c>
      <c r="F126" s="17" t="s">
        <v>363</v>
      </c>
      <c r="G126" s="17">
        <v>600</v>
      </c>
      <c r="H126" s="17" t="s">
        <v>309</v>
      </c>
    </row>
    <row r="127" spans="1:8" x14ac:dyDescent="0.3">
      <c r="A127" s="17" t="s">
        <v>380</v>
      </c>
      <c r="B127" s="17" t="s">
        <v>381</v>
      </c>
      <c r="C127" s="18">
        <v>120</v>
      </c>
      <c r="D127" s="18" t="s">
        <v>336</v>
      </c>
      <c r="E127" s="18" t="s">
        <v>37</v>
      </c>
      <c r="F127" s="17" t="s">
        <v>315</v>
      </c>
      <c r="G127" s="17">
        <v>296</v>
      </c>
      <c r="H127" s="17" t="s">
        <v>309</v>
      </c>
    </row>
    <row r="128" spans="1:8" x14ac:dyDescent="0.3">
      <c r="A128" s="17" t="s">
        <v>380</v>
      </c>
      <c r="B128" s="17" t="s">
        <v>381</v>
      </c>
      <c r="C128" s="18">
        <v>120</v>
      </c>
      <c r="D128" s="18" t="s">
        <v>336</v>
      </c>
      <c r="E128" s="18" t="s">
        <v>38</v>
      </c>
      <c r="F128" s="17" t="s">
        <v>368</v>
      </c>
      <c r="G128" s="17">
        <v>160</v>
      </c>
      <c r="H128" s="17" t="s">
        <v>309</v>
      </c>
    </row>
    <row r="129" spans="1:8" x14ac:dyDescent="0.3">
      <c r="A129" s="17" t="s">
        <v>380</v>
      </c>
      <c r="B129" s="17" t="s">
        <v>381</v>
      </c>
      <c r="C129" s="18">
        <v>120</v>
      </c>
      <c r="D129" s="18" t="s">
        <v>336</v>
      </c>
      <c r="E129" s="18" t="s">
        <v>39</v>
      </c>
      <c r="F129" s="17" t="s">
        <v>369</v>
      </c>
      <c r="G129" s="17">
        <v>160</v>
      </c>
      <c r="H129" s="17" t="s">
        <v>309</v>
      </c>
    </row>
    <row r="130" spans="1:8" x14ac:dyDescent="0.3">
      <c r="A130" s="17" t="s">
        <v>380</v>
      </c>
      <c r="B130" s="17" t="s">
        <v>381</v>
      </c>
      <c r="C130" s="18">
        <v>120</v>
      </c>
      <c r="D130" s="18" t="s">
        <v>336</v>
      </c>
      <c r="E130" s="18" t="s">
        <v>115</v>
      </c>
      <c r="F130" s="17" t="s">
        <v>339</v>
      </c>
      <c r="G130" s="17">
        <v>4000</v>
      </c>
      <c r="H130" s="17" t="s">
        <v>309</v>
      </c>
    </row>
    <row r="131" spans="1:8" x14ac:dyDescent="0.3">
      <c r="A131" s="17" t="s">
        <v>380</v>
      </c>
      <c r="B131" s="17" t="s">
        <v>381</v>
      </c>
      <c r="C131" s="18">
        <v>120</v>
      </c>
      <c r="D131" s="18" t="s">
        <v>336</v>
      </c>
      <c r="E131" s="18" t="s">
        <v>116</v>
      </c>
      <c r="F131" s="17" t="s">
        <v>354</v>
      </c>
      <c r="G131" s="17">
        <v>368</v>
      </c>
      <c r="H131" s="17" t="s">
        <v>370</v>
      </c>
    </row>
    <row r="132" spans="1:8" x14ac:dyDescent="0.3">
      <c r="A132" s="17" t="s">
        <v>380</v>
      </c>
      <c r="B132" s="17" t="s">
        <v>381</v>
      </c>
      <c r="C132" s="18">
        <v>120</v>
      </c>
      <c r="D132" s="18" t="s">
        <v>336</v>
      </c>
      <c r="E132" s="18" t="s">
        <v>117</v>
      </c>
      <c r="F132" s="17" t="s">
        <v>344</v>
      </c>
      <c r="G132" s="17">
        <v>72</v>
      </c>
      <c r="H132" s="17" t="s">
        <v>309</v>
      </c>
    </row>
    <row r="133" spans="1:8" x14ac:dyDescent="0.3">
      <c r="A133" s="17" t="s">
        <v>380</v>
      </c>
      <c r="B133" s="17" t="s">
        <v>381</v>
      </c>
      <c r="C133" s="18">
        <v>120</v>
      </c>
      <c r="D133" s="18" t="s">
        <v>336</v>
      </c>
      <c r="E133" s="18" t="s">
        <v>219</v>
      </c>
      <c r="F133" s="17" t="s">
        <v>355</v>
      </c>
      <c r="G133" s="17">
        <v>640</v>
      </c>
      <c r="H133" s="17" t="s">
        <v>309</v>
      </c>
    </row>
    <row r="134" spans="1:8" x14ac:dyDescent="0.3">
      <c r="A134" s="17" t="s">
        <v>380</v>
      </c>
      <c r="B134" s="17" t="s">
        <v>381</v>
      </c>
      <c r="C134" s="18">
        <v>120</v>
      </c>
      <c r="D134" s="18" t="s">
        <v>336</v>
      </c>
      <c r="E134" s="18" t="s">
        <v>220</v>
      </c>
      <c r="F134" s="17" t="s">
        <v>351</v>
      </c>
      <c r="G134" s="17">
        <v>8</v>
      </c>
      <c r="H134" s="17" t="s">
        <v>309</v>
      </c>
    </row>
    <row r="135" spans="1:8" x14ac:dyDescent="0.3">
      <c r="A135" s="17" t="s">
        <v>380</v>
      </c>
      <c r="B135" s="17" t="s">
        <v>381</v>
      </c>
      <c r="C135" s="18">
        <v>120</v>
      </c>
      <c r="D135" s="18" t="s">
        <v>336</v>
      </c>
      <c r="E135" s="18" t="s">
        <v>221</v>
      </c>
      <c r="F135" s="17" t="s">
        <v>371</v>
      </c>
      <c r="G135" s="17">
        <v>56</v>
      </c>
      <c r="H135" s="17" t="s">
        <v>309</v>
      </c>
    </row>
    <row r="136" spans="1:8" x14ac:dyDescent="0.3">
      <c r="A136" s="17" t="s">
        <v>380</v>
      </c>
      <c r="B136" s="17" t="s">
        <v>381</v>
      </c>
      <c r="C136" s="18">
        <v>120</v>
      </c>
      <c r="D136" s="18" t="s">
        <v>336</v>
      </c>
      <c r="E136" s="18" t="str">
        <f>'PRODUCTOS PLANTA PRODUCCION'!A16</f>
        <v>PR015</v>
      </c>
      <c r="F136" s="17" t="s">
        <v>382</v>
      </c>
      <c r="G136" s="17">
        <v>7200</v>
      </c>
      <c r="H136" s="17" t="s">
        <v>309</v>
      </c>
    </row>
    <row r="137" spans="1:8" x14ac:dyDescent="0.3">
      <c r="A137" s="17" t="s">
        <v>380</v>
      </c>
      <c r="B137" s="17" t="s">
        <v>381</v>
      </c>
      <c r="C137" s="18">
        <v>120</v>
      </c>
      <c r="D137" s="18" t="s">
        <v>336</v>
      </c>
      <c r="E137" s="18" t="s">
        <v>226</v>
      </c>
      <c r="F137" s="17" t="s">
        <v>373</v>
      </c>
      <c r="G137" s="17">
        <v>32</v>
      </c>
      <c r="H137" s="17" t="s">
        <v>309</v>
      </c>
    </row>
    <row r="138" spans="1:8" x14ac:dyDescent="0.3">
      <c r="A138" s="17" t="s">
        <v>380</v>
      </c>
      <c r="B138" s="17" t="s">
        <v>381</v>
      </c>
      <c r="C138" s="18">
        <v>120</v>
      </c>
      <c r="D138" s="18" t="s">
        <v>336</v>
      </c>
      <c r="E138" s="18" t="s">
        <v>229</v>
      </c>
      <c r="F138" s="17" t="s">
        <v>374</v>
      </c>
      <c r="G138" s="17">
        <v>16</v>
      </c>
      <c r="H138" s="17" t="s">
        <v>309</v>
      </c>
    </row>
    <row r="139" spans="1:8" x14ac:dyDescent="0.3">
      <c r="A139" s="17" t="s">
        <v>380</v>
      </c>
      <c r="B139" s="17" t="s">
        <v>381</v>
      </c>
      <c r="C139" s="18">
        <v>120</v>
      </c>
      <c r="D139" s="18" t="s">
        <v>336</v>
      </c>
      <c r="E139" s="18" t="s">
        <v>230</v>
      </c>
      <c r="F139" s="17" t="s">
        <v>375</v>
      </c>
      <c r="G139" s="17">
        <v>16</v>
      </c>
      <c r="H139" s="17" t="s">
        <v>309</v>
      </c>
    </row>
    <row r="140" spans="1:8" x14ac:dyDescent="0.3">
      <c r="A140" s="17" t="s">
        <v>380</v>
      </c>
      <c r="B140" s="17" t="s">
        <v>381</v>
      </c>
      <c r="C140" s="18">
        <v>120</v>
      </c>
      <c r="D140" s="18" t="s">
        <v>336</v>
      </c>
      <c r="E140" s="18" t="s">
        <v>232</v>
      </c>
      <c r="F140" s="17" t="s">
        <v>376</v>
      </c>
      <c r="G140" s="17">
        <v>24</v>
      </c>
      <c r="H140" s="17" t="s">
        <v>309</v>
      </c>
    </row>
    <row r="141" spans="1:8" x14ac:dyDescent="0.3">
      <c r="A141" s="17" t="s">
        <v>380</v>
      </c>
      <c r="B141" s="17" t="s">
        <v>381</v>
      </c>
      <c r="C141" s="18">
        <v>120</v>
      </c>
      <c r="D141" s="18" t="s">
        <v>336</v>
      </c>
      <c r="E141" s="18" t="s">
        <v>231</v>
      </c>
      <c r="F141" s="17" t="s">
        <v>377</v>
      </c>
      <c r="G141" s="17">
        <v>24</v>
      </c>
      <c r="H141" s="17" t="s">
        <v>309</v>
      </c>
    </row>
    <row r="142" spans="1:8" x14ac:dyDescent="0.3">
      <c r="A142" s="17" t="s">
        <v>380</v>
      </c>
      <c r="B142" s="17" t="s">
        <v>381</v>
      </c>
      <c r="C142" s="18">
        <v>120</v>
      </c>
      <c r="D142" s="18" t="s">
        <v>336</v>
      </c>
      <c r="E142" s="18" t="str">
        <f>'PRODUCTOS PLANTA PRODUCCION'!A18</f>
        <v>PR017</v>
      </c>
      <c r="F142" s="17" t="s">
        <v>141</v>
      </c>
      <c r="G142" s="17">
        <v>7000</v>
      </c>
      <c r="H142" s="17" t="s">
        <v>309</v>
      </c>
    </row>
    <row r="143" spans="1:8" x14ac:dyDescent="0.3">
      <c r="A143" s="17" t="s">
        <v>380</v>
      </c>
      <c r="B143" s="17" t="s">
        <v>381</v>
      </c>
      <c r="C143" s="18">
        <v>120</v>
      </c>
      <c r="D143" s="18" t="s">
        <v>336</v>
      </c>
      <c r="E143" s="18" t="s">
        <v>235</v>
      </c>
      <c r="F143" s="17" t="s">
        <v>379</v>
      </c>
      <c r="G143" s="17">
        <v>3200</v>
      </c>
      <c r="H143" s="17" t="s">
        <v>309</v>
      </c>
    </row>
    <row r="144" spans="1:8" x14ac:dyDescent="0.3">
      <c r="A144" s="17" t="s">
        <v>380</v>
      </c>
      <c r="B144" s="17" t="s">
        <v>381</v>
      </c>
      <c r="C144" s="18">
        <v>120</v>
      </c>
      <c r="D144" s="18" t="s">
        <v>336</v>
      </c>
      <c r="E144" s="18" t="s">
        <v>275</v>
      </c>
      <c r="F144" s="17" t="s">
        <v>191</v>
      </c>
      <c r="G144" s="17">
        <v>12</v>
      </c>
      <c r="H144" s="17" t="s">
        <v>108</v>
      </c>
    </row>
    <row r="147" spans="1:8" x14ac:dyDescent="0.3">
      <c r="A147" s="17" t="s">
        <v>383</v>
      </c>
      <c r="B147" s="17" t="s">
        <v>384</v>
      </c>
      <c r="C147" s="18">
        <v>50</v>
      </c>
      <c r="D147" s="18" t="s">
        <v>336</v>
      </c>
      <c r="E147" s="18" t="str">
        <f>'PRODUCTOS PLANTA PRODUCCION'!A18</f>
        <v>PR017</v>
      </c>
      <c r="F147" s="17" t="s">
        <v>141</v>
      </c>
      <c r="G147" s="17">
        <v>18000</v>
      </c>
      <c r="H147" s="17" t="s">
        <v>309</v>
      </c>
    </row>
    <row r="148" spans="1:8" x14ac:dyDescent="0.3">
      <c r="A148" s="17" t="s">
        <v>383</v>
      </c>
      <c r="B148" s="17" t="s">
        <v>384</v>
      </c>
      <c r="C148" s="18">
        <v>50</v>
      </c>
      <c r="D148" s="18" t="s">
        <v>336</v>
      </c>
      <c r="E148" s="18" t="str">
        <f>'PRODUCTOS PLANTA PRODUCCION'!A32</f>
        <v>PR031</v>
      </c>
      <c r="F148" s="17" t="s">
        <v>385</v>
      </c>
      <c r="G148" s="17">
        <v>1700</v>
      </c>
      <c r="H148" s="17" t="s">
        <v>309</v>
      </c>
    </row>
    <row r="149" spans="1:8" x14ac:dyDescent="0.3">
      <c r="A149" s="17" t="s">
        <v>383</v>
      </c>
      <c r="B149" s="17" t="s">
        <v>384</v>
      </c>
      <c r="C149" s="18">
        <v>50</v>
      </c>
      <c r="D149" s="18" t="s">
        <v>336</v>
      </c>
      <c r="E149" s="18" t="str">
        <f>'PRODUCTOS PLANTA PRODUCCION'!A31</f>
        <v>PR030</v>
      </c>
      <c r="F149" s="17" t="s">
        <v>154</v>
      </c>
      <c r="G149" s="17">
        <v>1700</v>
      </c>
      <c r="H149" s="17" t="s">
        <v>309</v>
      </c>
    </row>
    <row r="150" spans="1:8" x14ac:dyDescent="0.3">
      <c r="A150" s="17" t="s">
        <v>383</v>
      </c>
      <c r="B150" s="17" t="s">
        <v>384</v>
      </c>
      <c r="C150" s="18">
        <v>50</v>
      </c>
      <c r="D150" s="18" t="s">
        <v>336</v>
      </c>
      <c r="E150" s="18" t="str">
        <f>'PRODUCTOS PLANTA PRODUCCION'!A10</f>
        <v>PR009</v>
      </c>
      <c r="F150" s="17" t="s">
        <v>386</v>
      </c>
      <c r="G150" s="17">
        <v>3500</v>
      </c>
      <c r="H150" s="17" t="s">
        <v>309</v>
      </c>
    </row>
    <row r="151" spans="1:8" x14ac:dyDescent="0.3">
      <c r="A151" s="17" t="s">
        <v>383</v>
      </c>
      <c r="B151" s="17" t="s">
        <v>384</v>
      </c>
      <c r="C151" s="18">
        <v>50</v>
      </c>
      <c r="D151" s="18" t="s">
        <v>336</v>
      </c>
      <c r="E151" s="18" t="str">
        <f>'PRODUCTOS PLANTA PRODUCCION'!A9</f>
        <v>PR008</v>
      </c>
      <c r="F151" s="17" t="s">
        <v>387</v>
      </c>
      <c r="G151" s="17">
        <v>875</v>
      </c>
      <c r="H151" s="17" t="s">
        <v>309</v>
      </c>
    </row>
    <row r="152" spans="1:8" x14ac:dyDescent="0.3">
      <c r="A152" s="17" t="s">
        <v>383</v>
      </c>
      <c r="B152" s="17" t="s">
        <v>384</v>
      </c>
      <c r="C152" s="18">
        <v>50</v>
      </c>
      <c r="D152" s="18" t="s">
        <v>336</v>
      </c>
      <c r="E152" s="18" t="str">
        <f>'PRODUCTOS PLANTA PRODUCCION'!A19</f>
        <v>PR018</v>
      </c>
      <c r="F152" s="17" t="s">
        <v>142</v>
      </c>
      <c r="G152" s="17">
        <v>75</v>
      </c>
      <c r="H152" s="17" t="s">
        <v>309</v>
      </c>
    </row>
    <row r="153" spans="1:8" x14ac:dyDescent="0.3">
      <c r="A153" s="17" t="s">
        <v>383</v>
      </c>
      <c r="B153" s="17" t="s">
        <v>384</v>
      </c>
      <c r="C153" s="18">
        <v>50</v>
      </c>
      <c r="D153" s="18" t="s">
        <v>336</v>
      </c>
      <c r="E153" s="18" t="str">
        <f>'PRODUCTOS PLANTA PRODUCCION'!A7</f>
        <v>PR006</v>
      </c>
      <c r="F153" s="17" t="s">
        <v>315</v>
      </c>
      <c r="G153" s="17">
        <v>265</v>
      </c>
      <c r="H153" s="17" t="s">
        <v>309</v>
      </c>
    </row>
    <row r="154" spans="1:8" x14ac:dyDescent="0.3">
      <c r="A154" s="17" t="s">
        <v>383</v>
      </c>
      <c r="B154" s="17" t="s">
        <v>384</v>
      </c>
      <c r="C154" s="18">
        <v>50</v>
      </c>
      <c r="D154" s="18" t="s">
        <v>336</v>
      </c>
      <c r="E154" s="18" t="str">
        <f>'PRODUCTOS PLANTA PRODUCCION'!A12</f>
        <v>PR011</v>
      </c>
      <c r="F154" s="17" t="s">
        <v>388</v>
      </c>
      <c r="G154" s="17">
        <v>20</v>
      </c>
      <c r="H154" s="17" t="s">
        <v>309</v>
      </c>
    </row>
    <row r="155" spans="1:8" x14ac:dyDescent="0.3">
      <c r="A155" s="17" t="s">
        <v>383</v>
      </c>
      <c r="B155" s="17" t="s">
        <v>384</v>
      </c>
      <c r="C155" s="18">
        <v>50</v>
      </c>
      <c r="D155" s="18" t="s">
        <v>336</v>
      </c>
      <c r="E155" s="18" t="str">
        <f>'PRODUCTOS PLANTA PRODUCCION'!A27</f>
        <v>PR026</v>
      </c>
      <c r="F155" s="17" t="s">
        <v>389</v>
      </c>
      <c r="G155" s="17">
        <v>20</v>
      </c>
      <c r="H155" s="17" t="s">
        <v>309</v>
      </c>
    </row>
    <row r="156" spans="1:8" x14ac:dyDescent="0.3">
      <c r="A156" s="17" t="s">
        <v>383</v>
      </c>
      <c r="B156" s="17" t="s">
        <v>384</v>
      </c>
      <c r="C156" s="18">
        <v>50</v>
      </c>
      <c r="D156" s="18" t="s">
        <v>336</v>
      </c>
      <c r="E156" s="18" t="str">
        <f>'PRODUCTOS PLANTA PRODUCCION'!A39</f>
        <v>PR038</v>
      </c>
      <c r="F156" s="17" t="s">
        <v>390</v>
      </c>
      <c r="G156" s="17">
        <v>265</v>
      </c>
      <c r="H156" s="17" t="s">
        <v>309</v>
      </c>
    </row>
    <row r="157" spans="1:8" x14ac:dyDescent="0.3">
      <c r="A157" s="17" t="s">
        <v>383</v>
      </c>
      <c r="B157" s="17" t="s">
        <v>384</v>
      </c>
      <c r="C157" s="18">
        <v>50</v>
      </c>
      <c r="D157" s="18" t="s">
        <v>336</v>
      </c>
      <c r="E157" s="18" t="str">
        <f>'PRODUCTOS PLANTA PRODUCCION'!A96</f>
        <v>PR082</v>
      </c>
      <c r="F157" s="17" t="s">
        <v>391</v>
      </c>
      <c r="G157" s="17">
        <v>50</v>
      </c>
      <c r="H157" s="17" t="s">
        <v>343</v>
      </c>
    </row>
    <row r="158" spans="1:8" x14ac:dyDescent="0.3">
      <c r="A158" s="17" t="s">
        <v>383</v>
      </c>
      <c r="B158" s="17" t="s">
        <v>384</v>
      </c>
      <c r="C158" s="18">
        <v>50</v>
      </c>
      <c r="D158" s="18" t="s">
        <v>336</v>
      </c>
      <c r="E158" s="18" t="str">
        <f>'PRODUCTOS PLANTA PRODUCCION'!A28</f>
        <v>PR027</v>
      </c>
      <c r="F158" s="17" t="s">
        <v>366</v>
      </c>
      <c r="G158" s="17">
        <v>50</v>
      </c>
      <c r="H158" s="17" t="s">
        <v>309</v>
      </c>
    </row>
    <row r="159" spans="1:8" x14ac:dyDescent="0.3">
      <c r="A159" s="17" t="s">
        <v>383</v>
      </c>
      <c r="B159" s="17" t="s">
        <v>384</v>
      </c>
      <c r="C159" s="18">
        <v>50</v>
      </c>
      <c r="D159" s="18" t="s">
        <v>336</v>
      </c>
      <c r="E159" s="18" t="s">
        <v>275</v>
      </c>
      <c r="F159" s="17" t="s">
        <v>191</v>
      </c>
      <c r="G159" s="17">
        <v>5</v>
      </c>
      <c r="H159" s="17" t="s">
        <v>108</v>
      </c>
    </row>
    <row r="162" spans="1:8" x14ac:dyDescent="0.3">
      <c r="A162" s="17" t="s">
        <v>392</v>
      </c>
      <c r="B162" s="17" t="s">
        <v>393</v>
      </c>
      <c r="C162" s="18">
        <v>2.5</v>
      </c>
      <c r="D162" s="18" t="s">
        <v>394</v>
      </c>
      <c r="E162" s="18" t="str">
        <f>'PRODUCTOS PLANTA PRODUCCION'!A25</f>
        <v>PR024</v>
      </c>
      <c r="F162" s="17" t="s">
        <v>377</v>
      </c>
      <c r="G162" s="17">
        <v>20</v>
      </c>
      <c r="H162" s="17" t="s">
        <v>309</v>
      </c>
    </row>
    <row r="163" spans="1:8" x14ac:dyDescent="0.3">
      <c r="A163" s="17" t="s">
        <v>392</v>
      </c>
      <c r="B163" s="17" t="s">
        <v>393</v>
      </c>
      <c r="C163" s="18">
        <v>2.5</v>
      </c>
      <c r="D163" s="18" t="s">
        <v>394</v>
      </c>
      <c r="E163" s="18" t="str">
        <f>'PRODUCTOS PLANTA PRODUCCION'!A44</f>
        <v>PR043</v>
      </c>
      <c r="F163" s="17" t="s">
        <v>167</v>
      </c>
      <c r="G163" s="17">
        <v>10</v>
      </c>
      <c r="H163" s="17" t="s">
        <v>309</v>
      </c>
    </row>
    <row r="164" spans="1:8" x14ac:dyDescent="0.3">
      <c r="A164" s="17" t="s">
        <v>392</v>
      </c>
      <c r="B164" s="17" t="s">
        <v>393</v>
      </c>
      <c r="C164" s="18">
        <v>2.5</v>
      </c>
      <c r="D164" s="18" t="s">
        <v>394</v>
      </c>
      <c r="E164" s="18" t="str">
        <f>'PRODUCTOS PLANTA PRODUCCION'!A26</f>
        <v>PR025</v>
      </c>
      <c r="F164" s="17" t="s">
        <v>395</v>
      </c>
      <c r="G164" s="17">
        <v>10</v>
      </c>
      <c r="H164" s="17" t="s">
        <v>309</v>
      </c>
    </row>
    <row r="165" spans="1:8" x14ac:dyDescent="0.3">
      <c r="A165" s="17" t="s">
        <v>392</v>
      </c>
      <c r="B165" s="17" t="s">
        <v>393</v>
      </c>
      <c r="C165" s="18">
        <v>2.5</v>
      </c>
      <c r="D165" s="18" t="s">
        <v>394</v>
      </c>
      <c r="E165" s="18" t="str">
        <f>'PRODUCTOS PLANTA PRODUCCION'!A48</f>
        <v>PR047</v>
      </c>
      <c r="F165" s="17" t="s">
        <v>396</v>
      </c>
      <c r="G165" s="17">
        <v>4</v>
      </c>
      <c r="H165" s="17" t="s">
        <v>309</v>
      </c>
    </row>
    <row r="166" spans="1:8" x14ac:dyDescent="0.3">
      <c r="A166" s="17" t="s">
        <v>392</v>
      </c>
      <c r="B166" s="17" t="s">
        <v>393</v>
      </c>
      <c r="C166" s="18">
        <v>2.5</v>
      </c>
      <c r="D166" s="18" t="s">
        <v>394</v>
      </c>
      <c r="E166" s="18" t="str">
        <f>'PRODUCTOS PLANTA PRODUCCION'!A54</f>
        <v>PR053</v>
      </c>
      <c r="F166" s="17" t="s">
        <v>397</v>
      </c>
      <c r="G166" s="17">
        <v>6</v>
      </c>
      <c r="H166" s="17" t="s">
        <v>309</v>
      </c>
    </row>
    <row r="167" spans="1:8" x14ac:dyDescent="0.3">
      <c r="A167" s="17" t="s">
        <v>392</v>
      </c>
      <c r="B167" s="17" t="s">
        <v>393</v>
      </c>
      <c r="C167" s="18">
        <v>2.5</v>
      </c>
      <c r="D167" s="18" t="s">
        <v>394</v>
      </c>
      <c r="E167" s="18" t="str">
        <f>'PRODUCTOS PLANTA PRODUCCION'!A20</f>
        <v>PR019</v>
      </c>
      <c r="F167" s="17" t="s">
        <v>373</v>
      </c>
      <c r="G167" s="17">
        <v>10</v>
      </c>
      <c r="H167" s="17" t="s">
        <v>309</v>
      </c>
    </row>
    <row r="168" spans="1:8" x14ac:dyDescent="0.3">
      <c r="A168" s="17" t="s">
        <v>392</v>
      </c>
      <c r="B168" s="17" t="s">
        <v>393</v>
      </c>
      <c r="C168" s="18">
        <v>2.5</v>
      </c>
      <c r="D168" s="18" t="s">
        <v>394</v>
      </c>
      <c r="E168" s="18" t="str">
        <f>'PRODUCTOS PLANTA PRODUCCION'!A43</f>
        <v>PR042</v>
      </c>
      <c r="F168" s="17" t="s">
        <v>398</v>
      </c>
      <c r="G168" s="17">
        <v>10</v>
      </c>
      <c r="H168" s="17" t="s">
        <v>309</v>
      </c>
    </row>
    <row r="169" spans="1:8" x14ac:dyDescent="0.3">
      <c r="A169" s="17" t="s">
        <v>392</v>
      </c>
      <c r="B169" s="17" t="s">
        <v>393</v>
      </c>
      <c r="C169" s="18">
        <v>2.5</v>
      </c>
      <c r="D169" s="18" t="s">
        <v>394</v>
      </c>
      <c r="E169" s="18" t="str">
        <f>'PRODUCTOS PLANTA PRODUCCION'!A7</f>
        <v>PR006</v>
      </c>
      <c r="F169" s="17" t="s">
        <v>315</v>
      </c>
      <c r="G169" s="17">
        <v>70</v>
      </c>
      <c r="H169" s="17" t="s">
        <v>309</v>
      </c>
    </row>
    <row r="170" spans="1:8" x14ac:dyDescent="0.3">
      <c r="A170" s="17" t="s">
        <v>392</v>
      </c>
      <c r="B170" s="17" t="s">
        <v>393</v>
      </c>
      <c r="C170" s="18">
        <v>2.5</v>
      </c>
      <c r="D170" s="18" t="s">
        <v>394</v>
      </c>
      <c r="E170" s="18" t="str">
        <f>'PRODUCTOS PLANTA PRODUCCION'!A41</f>
        <v>PR040</v>
      </c>
      <c r="F170" s="17" t="s">
        <v>164</v>
      </c>
      <c r="G170" s="17">
        <v>20</v>
      </c>
      <c r="H170" s="17" t="s">
        <v>309</v>
      </c>
    </row>
    <row r="171" spans="1:8" x14ac:dyDescent="0.3">
      <c r="A171" s="17" t="s">
        <v>392</v>
      </c>
      <c r="B171" s="17" t="s">
        <v>393</v>
      </c>
      <c r="C171" s="18">
        <v>2.5</v>
      </c>
      <c r="D171" s="18" t="s">
        <v>394</v>
      </c>
      <c r="E171" s="18" t="str">
        <f>'PRODUCTOS PLANTA PRODUCCION'!A42</f>
        <v>PR041</v>
      </c>
      <c r="F171" s="17" t="s">
        <v>399</v>
      </c>
      <c r="G171" s="17">
        <v>30</v>
      </c>
      <c r="H171" s="17" t="s">
        <v>309</v>
      </c>
    </row>
    <row r="172" spans="1:8" x14ac:dyDescent="0.3">
      <c r="A172" s="17" t="s">
        <v>392</v>
      </c>
      <c r="B172" s="17" t="s">
        <v>393</v>
      </c>
      <c r="C172" s="18">
        <v>2.5</v>
      </c>
      <c r="D172" s="18" t="s">
        <v>394</v>
      </c>
      <c r="E172" s="18" t="str">
        <f>'PRODUCTOS PLANTA PRODUCCION'!A15</f>
        <v>PR014</v>
      </c>
      <c r="F172" s="17" t="s">
        <v>371</v>
      </c>
      <c r="G172" s="17">
        <v>6</v>
      </c>
      <c r="H172" s="17" t="s">
        <v>309</v>
      </c>
    </row>
    <row r="173" spans="1:8" x14ac:dyDescent="0.3">
      <c r="A173" s="17" t="s">
        <v>392</v>
      </c>
      <c r="B173" s="17" t="s">
        <v>393</v>
      </c>
      <c r="C173" s="18">
        <v>2.5</v>
      </c>
      <c r="D173" s="18" t="s">
        <v>394</v>
      </c>
      <c r="E173" s="18" t="str">
        <f>'PRODUCTOS PLANTA PRODUCCION'!A11</f>
        <v>PR010</v>
      </c>
      <c r="F173" s="17" t="s">
        <v>361</v>
      </c>
      <c r="G173" s="17">
        <v>20</v>
      </c>
      <c r="H173" s="17" t="s">
        <v>309</v>
      </c>
    </row>
    <row r="174" spans="1:8" x14ac:dyDescent="0.3">
      <c r="A174" s="17" t="s">
        <v>392</v>
      </c>
      <c r="B174" s="17" t="s">
        <v>393</v>
      </c>
      <c r="C174" s="18">
        <v>2.5</v>
      </c>
      <c r="D174" s="18" t="s">
        <v>394</v>
      </c>
      <c r="E174" s="18" t="str">
        <f>'PRODUCTOS PLANTA PRODUCCION'!A12</f>
        <v>PR011</v>
      </c>
      <c r="F174" s="17" t="s">
        <v>337</v>
      </c>
      <c r="G174" s="17">
        <v>20</v>
      </c>
      <c r="H174" s="17" t="s">
        <v>309</v>
      </c>
    </row>
    <row r="175" spans="1:8" x14ac:dyDescent="0.3">
      <c r="A175" s="17" t="s">
        <v>392</v>
      </c>
      <c r="B175" s="17" t="s">
        <v>393</v>
      </c>
      <c r="C175" s="18">
        <v>2.5</v>
      </c>
      <c r="D175" s="18" t="s">
        <v>394</v>
      </c>
      <c r="E175" s="18" t="str">
        <f>'PRODUCTOS PLANTA PRODUCCION'!A24</f>
        <v>PR023</v>
      </c>
      <c r="F175" s="17" t="s">
        <v>400</v>
      </c>
      <c r="G175" s="17">
        <v>5</v>
      </c>
      <c r="H175" s="17" t="s">
        <v>309</v>
      </c>
    </row>
    <row r="176" spans="1:8" x14ac:dyDescent="0.3">
      <c r="A176" s="17" t="s">
        <v>392</v>
      </c>
      <c r="B176" s="17" t="s">
        <v>393</v>
      </c>
      <c r="C176" s="18">
        <v>2.5</v>
      </c>
      <c r="D176" s="18" t="s">
        <v>394</v>
      </c>
      <c r="E176" s="18" t="str">
        <f>'PRODUCTOS PLANTA PRODUCCION'!A28</f>
        <v>PR027</v>
      </c>
      <c r="F176" s="17" t="s">
        <v>316</v>
      </c>
      <c r="G176" s="17">
        <v>200</v>
      </c>
      <c r="H176" s="17" t="s">
        <v>309</v>
      </c>
    </row>
    <row r="177" spans="1:8" x14ac:dyDescent="0.3">
      <c r="A177" s="17" t="s">
        <v>392</v>
      </c>
      <c r="B177" s="17" t="s">
        <v>393</v>
      </c>
      <c r="C177" s="18">
        <v>2.5</v>
      </c>
      <c r="D177" s="18" t="s">
        <v>394</v>
      </c>
      <c r="E177" s="18" t="str">
        <f>'PRODUCTOS PLANTA PRODUCCION'!A96</f>
        <v>PR082</v>
      </c>
      <c r="F177" s="17" t="s">
        <v>340</v>
      </c>
      <c r="G177" s="17">
        <v>4700</v>
      </c>
      <c r="H177" s="17" t="s">
        <v>325</v>
      </c>
    </row>
    <row r="178" spans="1:8" x14ac:dyDescent="0.3">
      <c r="A178" s="17" t="s">
        <v>392</v>
      </c>
      <c r="B178" s="17" t="s">
        <v>393</v>
      </c>
      <c r="C178" s="18">
        <v>2.5</v>
      </c>
      <c r="D178" s="18" t="s">
        <v>394</v>
      </c>
      <c r="E178" s="18" t="str">
        <f>'PRODUCTOS PLANTA PRODUCCION'!A3</f>
        <v>PR002</v>
      </c>
      <c r="F178" s="17" t="s">
        <v>401</v>
      </c>
      <c r="G178" s="17">
        <v>2500</v>
      </c>
      <c r="H178" s="17" t="s">
        <v>309</v>
      </c>
    </row>
    <row r="179" spans="1:8" x14ac:dyDescent="0.3">
      <c r="A179" s="17" t="s">
        <v>392</v>
      </c>
      <c r="B179" s="17" t="s">
        <v>393</v>
      </c>
      <c r="C179" s="18">
        <v>2.5</v>
      </c>
      <c r="D179" s="18" t="s">
        <v>394</v>
      </c>
      <c r="E179" s="18" t="str">
        <f>'PRODUCTOS PLANTA PRODUCCION'!A47</f>
        <v>PR046</v>
      </c>
      <c r="F179" s="17" t="s">
        <v>403</v>
      </c>
      <c r="G179" s="17">
        <v>120</v>
      </c>
      <c r="H179" s="17" t="s">
        <v>309</v>
      </c>
    </row>
    <row r="180" spans="1:8" x14ac:dyDescent="0.3">
      <c r="A180" s="17" t="s">
        <v>392</v>
      </c>
      <c r="B180" s="17" t="s">
        <v>393</v>
      </c>
      <c r="C180" s="18">
        <v>2.5</v>
      </c>
      <c r="D180" s="18" t="s">
        <v>394</v>
      </c>
      <c r="E180" s="18" t="str">
        <f>'PRODUCTOS PLANTA PRODUCCION'!A59</f>
        <v>PR058</v>
      </c>
      <c r="F180" s="17" t="s">
        <v>404</v>
      </c>
      <c r="G180" s="17">
        <v>100</v>
      </c>
      <c r="H180" s="17" t="s">
        <v>309</v>
      </c>
    </row>
    <row r="181" spans="1:8" x14ac:dyDescent="0.3">
      <c r="A181" s="17" t="s">
        <v>392</v>
      </c>
      <c r="B181" s="17" t="s">
        <v>393</v>
      </c>
      <c r="C181" s="18">
        <v>2.5</v>
      </c>
      <c r="D181" s="18" t="s">
        <v>394</v>
      </c>
      <c r="E181" s="18" t="str">
        <f>'PRODUCTOS PLANTA PRODUCCION'!A27</f>
        <v>PR026</v>
      </c>
      <c r="F181" s="17" t="s">
        <v>405</v>
      </c>
      <c r="G181" s="17">
        <v>30</v>
      </c>
      <c r="H181" s="17" t="s">
        <v>309</v>
      </c>
    </row>
    <row r="182" spans="1:8" x14ac:dyDescent="0.3">
      <c r="A182" s="17" t="s">
        <v>392</v>
      </c>
      <c r="B182" s="17" t="s">
        <v>393</v>
      </c>
      <c r="C182" s="18">
        <v>2.5</v>
      </c>
      <c r="D182" s="18" t="s">
        <v>394</v>
      </c>
      <c r="E182" s="18" t="s">
        <v>275</v>
      </c>
      <c r="F182" s="17" t="s">
        <v>192</v>
      </c>
      <c r="G182" s="17">
        <v>1</v>
      </c>
      <c r="H182" s="17" t="s">
        <v>108</v>
      </c>
    </row>
    <row r="184" spans="1:8" x14ac:dyDescent="0.3">
      <c r="A184" s="17" t="s">
        <v>406</v>
      </c>
      <c r="B184" s="17" t="s">
        <v>623</v>
      </c>
      <c r="C184" s="18">
        <v>80</v>
      </c>
      <c r="D184" s="18" t="s">
        <v>407</v>
      </c>
      <c r="E184" s="18" t="str">
        <f>'PRODUCTOS PLANTA PRODUCCION'!A58</f>
        <v>PR057</v>
      </c>
      <c r="F184" s="17" t="s">
        <v>408</v>
      </c>
      <c r="G184" s="17">
        <v>2750</v>
      </c>
      <c r="H184" s="17" t="s">
        <v>309</v>
      </c>
    </row>
    <row r="185" spans="1:8" x14ac:dyDescent="0.3">
      <c r="A185" s="17" t="s">
        <v>406</v>
      </c>
      <c r="B185" s="17" t="s">
        <v>623</v>
      </c>
      <c r="C185" s="18">
        <v>80</v>
      </c>
      <c r="D185" s="18" t="s">
        <v>407</v>
      </c>
      <c r="E185" s="18" t="str">
        <f>'PRODUCTOS PLANTA PRODUCCION'!A59</f>
        <v>PR058</v>
      </c>
      <c r="F185" s="17" t="s">
        <v>404</v>
      </c>
      <c r="G185" s="17">
        <v>7200</v>
      </c>
      <c r="H185" s="17" t="s">
        <v>309</v>
      </c>
    </row>
    <row r="186" spans="1:8" x14ac:dyDescent="0.3">
      <c r="A186" s="17" t="s">
        <v>406</v>
      </c>
      <c r="B186" s="17" t="s">
        <v>623</v>
      </c>
      <c r="C186" s="18">
        <v>80</v>
      </c>
      <c r="D186" s="18" t="s">
        <v>407</v>
      </c>
      <c r="E186" s="18" t="str">
        <f>'PRODUCTOS PLANTA PRODUCCION'!A96</f>
        <v>PR082</v>
      </c>
      <c r="F186" s="17" t="s">
        <v>340</v>
      </c>
      <c r="G186" s="17">
        <v>64500</v>
      </c>
      <c r="H186" s="17" t="s">
        <v>325</v>
      </c>
    </row>
    <row r="187" spans="1:8" x14ac:dyDescent="0.3">
      <c r="A187" s="17" t="s">
        <v>406</v>
      </c>
      <c r="B187" s="17" t="s">
        <v>623</v>
      </c>
      <c r="C187" s="18">
        <v>80</v>
      </c>
      <c r="D187" s="18" t="s">
        <v>407</v>
      </c>
      <c r="E187" s="18" t="s">
        <v>275</v>
      </c>
      <c r="F187" s="17" t="s">
        <v>191</v>
      </c>
      <c r="G187" s="17">
        <v>5</v>
      </c>
      <c r="H187" s="17" t="s">
        <v>108</v>
      </c>
    </row>
    <row r="190" spans="1:8" x14ac:dyDescent="0.3">
      <c r="A190" s="17" t="s">
        <v>409</v>
      </c>
      <c r="B190" s="17" t="s">
        <v>624</v>
      </c>
      <c r="C190" s="18">
        <v>20</v>
      </c>
      <c r="D190" s="18" t="s">
        <v>407</v>
      </c>
      <c r="E190" s="18" t="str">
        <f>'PRODUCTOS PLANTA PRODUCCION'!A60</f>
        <v>PR059</v>
      </c>
      <c r="F190" s="17" t="s">
        <v>410</v>
      </c>
      <c r="G190" s="17">
        <v>2500</v>
      </c>
      <c r="H190" s="17" t="s">
        <v>309</v>
      </c>
    </row>
    <row r="191" spans="1:8" x14ac:dyDescent="0.3">
      <c r="A191" s="17" t="s">
        <v>409</v>
      </c>
      <c r="B191" s="17" t="s">
        <v>624</v>
      </c>
      <c r="C191" s="18">
        <v>20</v>
      </c>
      <c r="D191" s="18" t="s">
        <v>407</v>
      </c>
      <c r="E191" s="18" t="s">
        <v>264</v>
      </c>
      <c r="F191" s="17" t="s">
        <v>404</v>
      </c>
      <c r="G191" s="17">
        <v>1000</v>
      </c>
      <c r="H191" s="17" t="s">
        <v>309</v>
      </c>
    </row>
    <row r="192" spans="1:8" x14ac:dyDescent="0.3">
      <c r="A192" s="17" t="s">
        <v>409</v>
      </c>
      <c r="B192" s="17" t="s">
        <v>624</v>
      </c>
      <c r="C192" s="18">
        <v>20</v>
      </c>
      <c r="D192" s="18" t="s">
        <v>407</v>
      </c>
      <c r="E192" s="18" t="s">
        <v>322</v>
      </c>
      <c r="F192" s="17" t="s">
        <v>340</v>
      </c>
      <c r="G192" s="17">
        <v>17500</v>
      </c>
      <c r="H192" s="17" t="s">
        <v>325</v>
      </c>
    </row>
    <row r="193" spans="1:8" ht="13.8" customHeight="1" x14ac:dyDescent="0.3">
      <c r="A193" s="17" t="s">
        <v>409</v>
      </c>
      <c r="B193" s="17" t="s">
        <v>624</v>
      </c>
      <c r="C193" s="18">
        <v>20</v>
      </c>
      <c r="D193" s="18" t="s">
        <v>407</v>
      </c>
      <c r="E193" s="18" t="s">
        <v>275</v>
      </c>
      <c r="F193" s="17" t="s">
        <v>191</v>
      </c>
      <c r="G193" s="17">
        <v>2</v>
      </c>
      <c r="H193" s="17" t="s">
        <v>108</v>
      </c>
    </row>
    <row r="194" spans="1:8" ht="13.8" customHeight="1" x14ac:dyDescent="0.3"/>
    <row r="196" spans="1:8" x14ac:dyDescent="0.3">
      <c r="A196" s="17" t="s">
        <v>411</v>
      </c>
      <c r="B196" s="17" t="s">
        <v>622</v>
      </c>
      <c r="C196" s="18">
        <v>13</v>
      </c>
      <c r="D196" s="18" t="s">
        <v>407</v>
      </c>
      <c r="E196" s="18" t="str">
        <f>'PRODUCTOS PLANTA PRODUCCION'!A53</f>
        <v>PR052</v>
      </c>
      <c r="F196" s="17" t="s">
        <v>412</v>
      </c>
      <c r="G196" s="17">
        <v>3250</v>
      </c>
      <c r="H196" s="17" t="s">
        <v>309</v>
      </c>
    </row>
    <row r="197" spans="1:8" x14ac:dyDescent="0.3">
      <c r="A197" s="17" t="s">
        <v>411</v>
      </c>
      <c r="B197" s="17" t="s">
        <v>622</v>
      </c>
      <c r="C197" s="18">
        <v>13</v>
      </c>
      <c r="D197" s="18" t="s">
        <v>407</v>
      </c>
      <c r="E197" s="18" t="str">
        <f>'PRODUCTOS PLANTA PRODUCCION'!A57</f>
        <v>PR056</v>
      </c>
      <c r="F197" s="17" t="s">
        <v>413</v>
      </c>
      <c r="G197" s="17">
        <v>16</v>
      </c>
      <c r="H197" s="17" t="s">
        <v>309</v>
      </c>
    </row>
    <row r="198" spans="1:8" x14ac:dyDescent="0.3">
      <c r="A198" s="17" t="s">
        <v>411</v>
      </c>
      <c r="B198" s="17" t="s">
        <v>622</v>
      </c>
      <c r="C198" s="18">
        <v>13</v>
      </c>
      <c r="D198" s="18" t="s">
        <v>407</v>
      </c>
      <c r="E198" s="18" t="str">
        <f>'PRODUCTOS PLANTA PRODUCCION'!A55</f>
        <v>PR054</v>
      </c>
      <c r="F198" s="17" t="s">
        <v>416</v>
      </c>
      <c r="G198" s="17">
        <v>24</v>
      </c>
      <c r="H198" s="17" t="s">
        <v>309</v>
      </c>
    </row>
    <row r="199" spans="1:8" x14ac:dyDescent="0.3">
      <c r="A199" s="17" t="s">
        <v>411</v>
      </c>
      <c r="B199" s="17" t="s">
        <v>622</v>
      </c>
      <c r="C199" s="18">
        <v>13</v>
      </c>
      <c r="D199" s="18" t="s">
        <v>407</v>
      </c>
      <c r="E199" s="18" t="str">
        <f>'PRODUCTOS PLANTA PRODUCCION'!A56</f>
        <v>PR055</v>
      </c>
      <c r="F199" s="17" t="s">
        <v>414</v>
      </c>
      <c r="G199" s="17">
        <v>24</v>
      </c>
      <c r="H199" s="17" t="s">
        <v>309</v>
      </c>
    </row>
    <row r="200" spans="1:8" x14ac:dyDescent="0.3">
      <c r="A200" s="17" t="s">
        <v>411</v>
      </c>
      <c r="B200" s="17" t="s">
        <v>622</v>
      </c>
      <c r="C200" s="18">
        <v>13</v>
      </c>
      <c r="D200" s="18" t="s">
        <v>407</v>
      </c>
      <c r="E200" s="18" t="str">
        <f>'PRODUCTOS PLANTA PRODUCCION'!A52</f>
        <v>PR051</v>
      </c>
      <c r="F200" s="17" t="s">
        <v>417</v>
      </c>
      <c r="G200" s="17">
        <v>20</v>
      </c>
      <c r="H200" s="17" t="s">
        <v>309</v>
      </c>
    </row>
    <row r="201" spans="1:8" x14ac:dyDescent="0.3">
      <c r="A201" s="17" t="s">
        <v>411</v>
      </c>
      <c r="B201" s="17" t="s">
        <v>622</v>
      </c>
      <c r="C201" s="18">
        <v>13</v>
      </c>
      <c r="D201" s="18" t="s">
        <v>407</v>
      </c>
      <c r="E201" s="18" t="str">
        <f>'PRODUCTOS PLANTA PRODUCCION'!A96</f>
        <v>PR082</v>
      </c>
      <c r="F201" s="17" t="s">
        <v>340</v>
      </c>
      <c r="G201" s="17">
        <v>11000</v>
      </c>
      <c r="H201" s="17" t="s">
        <v>325</v>
      </c>
    </row>
    <row r="202" spans="1:8" x14ac:dyDescent="0.3">
      <c r="A202" s="17" t="s">
        <v>411</v>
      </c>
      <c r="B202" s="17" t="s">
        <v>622</v>
      </c>
      <c r="C202" s="18">
        <v>13</v>
      </c>
      <c r="D202" s="18" t="s">
        <v>407</v>
      </c>
      <c r="E202" s="18" t="str">
        <f>'PRODUCTOS PLANTA PRODUCCION'!A51</f>
        <v>PR050</v>
      </c>
      <c r="F202" s="17" t="s">
        <v>418</v>
      </c>
      <c r="G202" s="17">
        <v>1000</v>
      </c>
      <c r="H202" s="17" t="s">
        <v>309</v>
      </c>
    </row>
    <row r="203" spans="1:8" x14ac:dyDescent="0.3">
      <c r="A203" s="17" t="s">
        <v>411</v>
      </c>
      <c r="B203" s="17" t="s">
        <v>622</v>
      </c>
      <c r="C203" s="18">
        <v>13</v>
      </c>
      <c r="D203" s="18" t="s">
        <v>407</v>
      </c>
      <c r="E203" s="18" t="str">
        <f>'PRODUCTOS PLANTA PRODUCCION'!A54</f>
        <v>PR053</v>
      </c>
      <c r="F203" s="17" t="s">
        <v>397</v>
      </c>
      <c r="G203" s="17">
        <v>8</v>
      </c>
      <c r="H203" s="17" t="s">
        <v>309</v>
      </c>
    </row>
    <row r="204" spans="1:8" x14ac:dyDescent="0.3">
      <c r="A204" s="17" t="s">
        <v>411</v>
      </c>
      <c r="B204" s="17" t="s">
        <v>622</v>
      </c>
      <c r="C204" s="18">
        <v>13</v>
      </c>
      <c r="D204" s="18" t="s">
        <v>407</v>
      </c>
      <c r="E204" s="18" t="s">
        <v>275</v>
      </c>
      <c r="F204" s="17" t="s">
        <v>191</v>
      </c>
      <c r="G204" s="17">
        <v>2</v>
      </c>
      <c r="H204" s="17" t="s">
        <v>108</v>
      </c>
    </row>
    <row r="207" spans="1:8" x14ac:dyDescent="0.3">
      <c r="A207" s="17" t="s">
        <v>551</v>
      </c>
      <c r="B207" s="17" t="s">
        <v>552</v>
      </c>
      <c r="C207" s="18">
        <v>1</v>
      </c>
      <c r="D207" s="18" t="s">
        <v>407</v>
      </c>
      <c r="E207" s="18" t="str">
        <f>'PRODUCTOS PLANTA PRODUCCION'!A96</f>
        <v>PR082</v>
      </c>
      <c r="F207" s="17" t="s">
        <v>555</v>
      </c>
      <c r="G207" s="17">
        <v>1500</v>
      </c>
      <c r="H207" s="17" t="s">
        <v>309</v>
      </c>
    </row>
    <row r="208" spans="1:8" x14ac:dyDescent="0.3">
      <c r="A208" s="17" t="s">
        <v>551</v>
      </c>
      <c r="B208" s="17" t="s">
        <v>552</v>
      </c>
      <c r="C208" s="18">
        <v>1</v>
      </c>
      <c r="D208" s="18" t="s">
        <v>407</v>
      </c>
      <c r="E208" s="18" t="str">
        <f>'PRODUCTOS PLANTA PRODUCCION'!A11</f>
        <v>PR010</v>
      </c>
      <c r="F208" s="17" t="s">
        <v>134</v>
      </c>
      <c r="G208" s="17">
        <v>120</v>
      </c>
      <c r="H208" s="17" t="s">
        <v>309</v>
      </c>
    </row>
    <row r="209" spans="1:8" x14ac:dyDescent="0.3">
      <c r="A209" s="17" t="s">
        <v>551</v>
      </c>
      <c r="B209" s="17" t="s">
        <v>552</v>
      </c>
      <c r="C209" s="18">
        <v>1</v>
      </c>
      <c r="D209" s="18" t="s">
        <v>407</v>
      </c>
      <c r="E209" s="18" t="str">
        <f>'PRODUCTOS PLANTA PRODUCCION'!A28</f>
        <v>PR027</v>
      </c>
      <c r="F209" s="17" t="s">
        <v>151</v>
      </c>
      <c r="G209" s="17">
        <v>0.75</v>
      </c>
      <c r="H209" s="17" t="s">
        <v>309</v>
      </c>
    </row>
    <row r="210" spans="1:8" x14ac:dyDescent="0.3">
      <c r="A210" s="17" t="s">
        <v>551</v>
      </c>
      <c r="B210" s="17" t="s">
        <v>552</v>
      </c>
      <c r="C210" s="18">
        <v>1</v>
      </c>
      <c r="D210" s="18" t="s">
        <v>407</v>
      </c>
      <c r="E210" s="18" t="str">
        <f>'PRODUCTOS PLANTA PRODUCCION'!A59</f>
        <v>PR058</v>
      </c>
      <c r="F210" s="17" t="s">
        <v>180</v>
      </c>
      <c r="G210" s="17">
        <v>400</v>
      </c>
      <c r="H210" s="17" t="s">
        <v>309</v>
      </c>
    </row>
    <row r="211" spans="1:8" x14ac:dyDescent="0.3">
      <c r="A211" s="17" t="s">
        <v>551</v>
      </c>
      <c r="B211" s="17" t="s">
        <v>552</v>
      </c>
      <c r="C211" s="18">
        <v>1</v>
      </c>
      <c r="D211" s="18" t="s">
        <v>407</v>
      </c>
      <c r="E211" s="18" t="str">
        <f>'PRODUCTOS PLANTA PRODUCCION'!A58</f>
        <v>PR057</v>
      </c>
      <c r="F211" s="17" t="s">
        <v>556</v>
      </c>
      <c r="G211" s="17">
        <v>35</v>
      </c>
      <c r="H211" s="17" t="s">
        <v>309</v>
      </c>
    </row>
    <row r="212" spans="1:8" x14ac:dyDescent="0.3">
      <c r="A212" s="17" t="s">
        <v>551</v>
      </c>
      <c r="B212" s="17" t="s">
        <v>552</v>
      </c>
      <c r="C212" s="18">
        <v>1</v>
      </c>
      <c r="D212" s="18" t="s">
        <v>407</v>
      </c>
      <c r="E212" s="18" t="str">
        <f>'PRODUCTOS PLANTA PRODUCCION'!A30</f>
        <v>PEY18</v>
      </c>
      <c r="F212" s="17" t="s">
        <v>557</v>
      </c>
      <c r="G212" s="17">
        <v>100</v>
      </c>
      <c r="H212" s="17" t="s">
        <v>309</v>
      </c>
    </row>
    <row r="213" spans="1:8" x14ac:dyDescent="0.3">
      <c r="A213" s="17" t="s">
        <v>551</v>
      </c>
      <c r="B213" s="17" t="s">
        <v>552</v>
      </c>
      <c r="C213" s="18">
        <v>1</v>
      </c>
      <c r="D213" s="18" t="s">
        <v>407</v>
      </c>
      <c r="E213" s="18" t="str">
        <f>'PRODUCTOS PLANTA PRODUCCION'!A12</f>
        <v>PR011</v>
      </c>
      <c r="F213" s="17" t="s">
        <v>344</v>
      </c>
      <c r="G213" s="17">
        <v>1</v>
      </c>
      <c r="H213" s="17" t="s">
        <v>309</v>
      </c>
    </row>
    <row r="214" spans="1:8" x14ac:dyDescent="0.3">
      <c r="A214" s="17" t="s">
        <v>551</v>
      </c>
      <c r="B214" s="17" t="s">
        <v>552</v>
      </c>
      <c r="C214" s="18">
        <v>1</v>
      </c>
      <c r="D214" s="18" t="s">
        <v>407</v>
      </c>
      <c r="E214" s="18" t="str">
        <f>'PRODUCTOS PLANTA PRODUCCION'!A60</f>
        <v>PR059</v>
      </c>
      <c r="F214" s="17" t="s">
        <v>558</v>
      </c>
      <c r="G214" s="17">
        <v>60</v>
      </c>
      <c r="H214" s="17" t="s">
        <v>309</v>
      </c>
    </row>
    <row r="215" spans="1:8" x14ac:dyDescent="0.3">
      <c r="A215" s="17" t="s">
        <v>551</v>
      </c>
      <c r="B215" s="17" t="s">
        <v>552</v>
      </c>
      <c r="C215" s="18">
        <v>1</v>
      </c>
      <c r="D215" s="18" t="s">
        <v>407</v>
      </c>
      <c r="E215" s="18" t="s">
        <v>559</v>
      </c>
      <c r="F215" s="17" t="s">
        <v>563</v>
      </c>
      <c r="G215" s="17">
        <v>65</v>
      </c>
      <c r="H215" s="17" t="s">
        <v>309</v>
      </c>
    </row>
    <row r="216" spans="1:8" x14ac:dyDescent="0.3">
      <c r="A216" s="17" t="s">
        <v>551</v>
      </c>
      <c r="B216" s="17" t="s">
        <v>552</v>
      </c>
      <c r="C216" s="18">
        <v>1</v>
      </c>
      <c r="D216" s="18" t="s">
        <v>407</v>
      </c>
      <c r="E216" s="18" t="s">
        <v>560</v>
      </c>
      <c r="F216" s="17" t="s">
        <v>564</v>
      </c>
      <c r="G216" s="17">
        <v>2</v>
      </c>
      <c r="H216" s="17" t="s">
        <v>309</v>
      </c>
    </row>
    <row r="217" spans="1:8" x14ac:dyDescent="0.3">
      <c r="A217" s="17" t="s">
        <v>551</v>
      </c>
      <c r="B217" s="17" t="s">
        <v>552</v>
      </c>
      <c r="C217" s="18">
        <v>1</v>
      </c>
      <c r="D217" s="18" t="s">
        <v>407</v>
      </c>
      <c r="E217" s="18" t="s">
        <v>561</v>
      </c>
      <c r="F217" s="17" t="s">
        <v>565</v>
      </c>
      <c r="G217" s="17">
        <v>50</v>
      </c>
      <c r="H217" s="17" t="s">
        <v>309</v>
      </c>
    </row>
    <row r="218" spans="1:8" x14ac:dyDescent="0.3">
      <c r="A218" s="17" t="s">
        <v>551</v>
      </c>
      <c r="B218" s="17" t="s">
        <v>552</v>
      </c>
      <c r="C218" s="18">
        <v>1</v>
      </c>
      <c r="D218" s="18" t="s">
        <v>407</v>
      </c>
      <c r="E218" s="18" t="s">
        <v>562</v>
      </c>
      <c r="F218" s="17" t="s">
        <v>566</v>
      </c>
      <c r="G218" s="17">
        <v>28</v>
      </c>
      <c r="H218" s="17" t="s">
        <v>309</v>
      </c>
    </row>
    <row r="219" spans="1:8" x14ac:dyDescent="0.3">
      <c r="A219" s="17" t="s">
        <v>551</v>
      </c>
      <c r="B219" s="17" t="s">
        <v>552</v>
      </c>
      <c r="C219" s="18">
        <v>1</v>
      </c>
      <c r="D219" s="18" t="s">
        <v>407</v>
      </c>
      <c r="E219" s="18" t="s">
        <v>568</v>
      </c>
      <c r="F219" s="17" t="s">
        <v>567</v>
      </c>
      <c r="G219" s="17">
        <v>30</v>
      </c>
      <c r="H219" s="17" t="s">
        <v>309</v>
      </c>
    </row>
    <row r="220" spans="1:8" x14ac:dyDescent="0.3">
      <c r="A220" s="17" t="s">
        <v>551</v>
      </c>
      <c r="B220" s="17" t="s">
        <v>552</v>
      </c>
      <c r="C220" s="18">
        <v>1</v>
      </c>
      <c r="D220" s="18" t="s">
        <v>407</v>
      </c>
      <c r="E220" s="18" t="s">
        <v>276</v>
      </c>
      <c r="F220" s="17" t="s">
        <v>192</v>
      </c>
      <c r="G220" s="17">
        <v>1</v>
      </c>
      <c r="H220" s="17" t="s">
        <v>108</v>
      </c>
    </row>
    <row r="223" spans="1:8" x14ac:dyDescent="0.3">
      <c r="A223" s="17" t="s">
        <v>553</v>
      </c>
      <c r="B223" s="17" t="s">
        <v>554</v>
      </c>
      <c r="C223" s="18">
        <v>1</v>
      </c>
      <c r="D223" s="18" t="s">
        <v>407</v>
      </c>
      <c r="E223" s="18" t="str">
        <f>E207</f>
        <v>PR082</v>
      </c>
      <c r="F223" s="17" t="s">
        <v>577</v>
      </c>
      <c r="G223" s="17">
        <v>500</v>
      </c>
      <c r="H223" s="17" t="s">
        <v>325</v>
      </c>
    </row>
    <row r="224" spans="1:8" x14ac:dyDescent="0.3">
      <c r="A224" s="17" t="s">
        <v>553</v>
      </c>
      <c r="B224" s="17" t="s">
        <v>554</v>
      </c>
      <c r="C224" s="18">
        <v>1</v>
      </c>
      <c r="D224" s="18" t="s">
        <v>407</v>
      </c>
      <c r="E224" s="18" t="str">
        <f>'PRODUCTOS PLANTA PRODUCCION'!A85</f>
        <v>PR074</v>
      </c>
      <c r="F224" s="17" t="s">
        <v>578</v>
      </c>
      <c r="G224" s="17">
        <v>3.5</v>
      </c>
      <c r="H224" s="17" t="s">
        <v>309</v>
      </c>
    </row>
    <row r="225" spans="1:8" x14ac:dyDescent="0.3">
      <c r="A225" s="17" t="s">
        <v>553</v>
      </c>
      <c r="B225" s="17" t="s">
        <v>554</v>
      </c>
      <c r="C225" s="18">
        <v>1</v>
      </c>
      <c r="D225" s="18" t="s">
        <v>407</v>
      </c>
      <c r="E225" s="18" t="str">
        <f>'PRODUCTOS PLANTA PRODUCCION'!A83</f>
        <v>PR072</v>
      </c>
      <c r="F225" s="17" t="s">
        <v>579</v>
      </c>
      <c r="G225" s="17">
        <v>0.5</v>
      </c>
      <c r="H225" s="17" t="s">
        <v>309</v>
      </c>
    </row>
    <row r="226" spans="1:8" x14ac:dyDescent="0.3">
      <c r="A226" s="17" t="s">
        <v>553</v>
      </c>
      <c r="B226" s="17" t="s">
        <v>554</v>
      </c>
      <c r="C226" s="18">
        <v>1</v>
      </c>
      <c r="D226" s="18" t="s">
        <v>407</v>
      </c>
      <c r="E226" s="18" t="str">
        <f>'PRODUCTOS PLANTA PRODUCCION'!A86</f>
        <v>PR075</v>
      </c>
      <c r="F226" s="17" t="s">
        <v>580</v>
      </c>
      <c r="G226" s="17">
        <v>2</v>
      </c>
      <c r="H226" s="17" t="s">
        <v>309</v>
      </c>
    </row>
    <row r="227" spans="1:8" x14ac:dyDescent="0.3">
      <c r="A227" s="17" t="s">
        <v>553</v>
      </c>
      <c r="B227" s="17" t="s">
        <v>554</v>
      </c>
      <c r="C227" s="18">
        <v>1</v>
      </c>
      <c r="D227" s="18" t="s">
        <v>407</v>
      </c>
      <c r="E227" s="18" t="str">
        <f>'PRODUCTOS PLANTA PRODUCCION'!A103</f>
        <v>PR089</v>
      </c>
      <c r="F227" s="17" t="s">
        <v>570</v>
      </c>
      <c r="G227" s="17">
        <v>4</v>
      </c>
      <c r="H227" s="17" t="s">
        <v>309</v>
      </c>
    </row>
    <row r="228" spans="1:8" x14ac:dyDescent="0.3">
      <c r="A228" s="17" t="s">
        <v>553</v>
      </c>
      <c r="B228" s="17" t="s">
        <v>554</v>
      </c>
      <c r="C228" s="18">
        <v>1</v>
      </c>
      <c r="D228" s="18" t="s">
        <v>407</v>
      </c>
      <c r="E228" s="18" t="str">
        <f>'PRODUCTOS PLANTA PRODUCCION'!A87</f>
        <v>PR076</v>
      </c>
      <c r="F228" s="17" t="s">
        <v>581</v>
      </c>
      <c r="G228" s="17">
        <v>0.1</v>
      </c>
      <c r="H228" s="17" t="s">
        <v>309</v>
      </c>
    </row>
    <row r="229" spans="1:8" x14ac:dyDescent="0.3">
      <c r="A229" s="17" t="s">
        <v>553</v>
      </c>
      <c r="B229" s="17" t="s">
        <v>554</v>
      </c>
      <c r="C229" s="18">
        <v>1</v>
      </c>
      <c r="D229" s="18" t="s">
        <v>407</v>
      </c>
      <c r="E229" s="18" t="str">
        <f>'PRODUCTOS PLANTA PRODUCCION'!A84</f>
        <v>PR073</v>
      </c>
      <c r="F229" s="17" t="s">
        <v>582</v>
      </c>
      <c r="G229" s="17">
        <v>32</v>
      </c>
      <c r="H229" s="17" t="s">
        <v>325</v>
      </c>
    </row>
    <row r="230" spans="1:8" x14ac:dyDescent="0.3">
      <c r="A230" s="17" t="s">
        <v>553</v>
      </c>
      <c r="B230" s="17" t="s">
        <v>554</v>
      </c>
      <c r="C230" s="18">
        <v>1</v>
      </c>
      <c r="D230" s="18" t="s">
        <v>407</v>
      </c>
      <c r="E230" s="18" t="str">
        <f>'PRODUCTOS PLANTA PRODUCCION'!A81</f>
        <v>PR070</v>
      </c>
      <c r="F230" s="17" t="s">
        <v>201</v>
      </c>
      <c r="G230" s="17">
        <v>7.5</v>
      </c>
      <c r="H230" s="17" t="s">
        <v>325</v>
      </c>
    </row>
    <row r="231" spans="1:8" ht="13.8" customHeight="1" x14ac:dyDescent="0.3">
      <c r="A231" s="17" t="s">
        <v>553</v>
      </c>
      <c r="B231" s="17" t="s">
        <v>554</v>
      </c>
      <c r="C231" s="18">
        <v>1</v>
      </c>
      <c r="D231" s="18" t="s">
        <v>407</v>
      </c>
      <c r="E231" s="18" t="str">
        <f>'PRODUCTOS PLANTA PRODUCCION'!A90</f>
        <v>PR079</v>
      </c>
      <c r="F231" s="17" t="s">
        <v>210</v>
      </c>
      <c r="G231" s="17">
        <v>10</v>
      </c>
      <c r="H231" s="17" t="s">
        <v>309</v>
      </c>
    </row>
    <row r="232" spans="1:8" x14ac:dyDescent="0.3">
      <c r="A232" s="17" t="s">
        <v>553</v>
      </c>
      <c r="B232" s="17" t="s">
        <v>554</v>
      </c>
      <c r="C232" s="18">
        <v>1</v>
      </c>
      <c r="D232" s="18" t="s">
        <v>407</v>
      </c>
      <c r="E232" s="18" t="str">
        <f>'PRODUCTOS PLANTA PRODUCCION'!A89</f>
        <v>PR078</v>
      </c>
      <c r="F232" s="17" t="s">
        <v>209</v>
      </c>
      <c r="G232" s="17">
        <v>30</v>
      </c>
      <c r="H232" s="17" t="s">
        <v>309</v>
      </c>
    </row>
    <row r="233" spans="1:8" x14ac:dyDescent="0.3">
      <c r="A233" s="17" t="s">
        <v>553</v>
      </c>
      <c r="B233" s="17" t="s">
        <v>554</v>
      </c>
      <c r="C233" s="18">
        <v>1</v>
      </c>
      <c r="D233" s="18" t="s">
        <v>407</v>
      </c>
      <c r="E233" s="18" t="str">
        <f>'PRODUCTOS PLANTA PRODUCCION'!A88</f>
        <v>PR077</v>
      </c>
      <c r="F233" s="17" t="s">
        <v>583</v>
      </c>
      <c r="G233" s="17">
        <v>100</v>
      </c>
      <c r="H233" s="17" t="s">
        <v>309</v>
      </c>
    </row>
    <row r="234" spans="1:8" x14ac:dyDescent="0.3">
      <c r="A234" s="17" t="s">
        <v>553</v>
      </c>
      <c r="B234" s="17" t="s">
        <v>554</v>
      </c>
      <c r="C234" s="18">
        <v>1</v>
      </c>
      <c r="D234" s="18" t="s">
        <v>407</v>
      </c>
      <c r="E234" s="18" t="s">
        <v>276</v>
      </c>
      <c r="F234" s="17" t="s">
        <v>192</v>
      </c>
      <c r="G234" s="17">
        <v>1</v>
      </c>
      <c r="H234" s="17" t="s">
        <v>108</v>
      </c>
    </row>
    <row r="237" spans="1:8" x14ac:dyDescent="0.3">
      <c r="A237" s="17" t="s">
        <v>660</v>
      </c>
      <c r="B237" s="17" t="s">
        <v>661</v>
      </c>
      <c r="C237" s="18">
        <v>15</v>
      </c>
      <c r="D237" s="18" t="s">
        <v>394</v>
      </c>
      <c r="E237" s="18" t="s">
        <v>588</v>
      </c>
      <c r="F237" s="17" t="s">
        <v>662</v>
      </c>
      <c r="G237" s="17">
        <v>4000</v>
      </c>
      <c r="H237" s="17" t="s">
        <v>216</v>
      </c>
    </row>
    <row r="238" spans="1:8" x14ac:dyDescent="0.3">
      <c r="A238" s="17" t="s">
        <v>660</v>
      </c>
      <c r="B238" s="17" t="s">
        <v>661</v>
      </c>
      <c r="C238" s="18">
        <v>15</v>
      </c>
      <c r="D238" s="18" t="s">
        <v>394</v>
      </c>
      <c r="E238" s="18" t="s">
        <v>589</v>
      </c>
      <c r="F238" s="17" t="s">
        <v>663</v>
      </c>
      <c r="G238" s="17">
        <v>11000</v>
      </c>
      <c r="H238" s="17" t="s">
        <v>309</v>
      </c>
    </row>
    <row r="239" spans="1:8" x14ac:dyDescent="0.3">
      <c r="A239" s="17" t="s">
        <v>660</v>
      </c>
      <c r="B239" s="17" t="s">
        <v>661</v>
      </c>
      <c r="C239" s="18">
        <v>15</v>
      </c>
      <c r="D239" s="18" t="s">
        <v>394</v>
      </c>
      <c r="E239" s="18" t="s">
        <v>234</v>
      </c>
      <c r="F239" s="17" t="s">
        <v>151</v>
      </c>
      <c r="G239" s="17">
        <v>180</v>
      </c>
      <c r="H239" s="17" t="s">
        <v>216</v>
      </c>
    </row>
    <row r="240" spans="1:8" x14ac:dyDescent="0.3">
      <c r="A240" s="17" t="s">
        <v>660</v>
      </c>
      <c r="B240" s="17" t="s">
        <v>661</v>
      </c>
      <c r="C240" s="18">
        <v>15</v>
      </c>
      <c r="D240" s="18" t="s">
        <v>394</v>
      </c>
      <c r="E240" s="18" t="s">
        <v>349</v>
      </c>
      <c r="F240" s="17" t="s">
        <v>350</v>
      </c>
      <c r="G240" s="17">
        <v>100</v>
      </c>
      <c r="H240" s="17" t="s">
        <v>325</v>
      </c>
    </row>
    <row r="241" spans="1:8" x14ac:dyDescent="0.3">
      <c r="A241" s="17" t="s">
        <v>660</v>
      </c>
      <c r="B241" s="17" t="s">
        <v>661</v>
      </c>
      <c r="C241" s="18">
        <v>15</v>
      </c>
      <c r="D241" s="18" t="s">
        <v>394</v>
      </c>
      <c r="E241" s="18" t="s">
        <v>590</v>
      </c>
      <c r="F241" s="17" t="s">
        <v>485</v>
      </c>
      <c r="G241" s="17">
        <v>2000</v>
      </c>
      <c r="H241" s="17" t="s">
        <v>216</v>
      </c>
    </row>
    <row r="242" spans="1:8" x14ac:dyDescent="0.3">
      <c r="A242" s="17" t="s">
        <v>660</v>
      </c>
      <c r="B242" s="17" t="s">
        <v>661</v>
      </c>
      <c r="C242" s="18">
        <v>15</v>
      </c>
      <c r="D242" s="18" t="s">
        <v>394</v>
      </c>
      <c r="E242" s="18" t="s">
        <v>225</v>
      </c>
      <c r="F242" s="17" t="s">
        <v>142</v>
      </c>
      <c r="G242" s="17">
        <v>180</v>
      </c>
      <c r="H242" s="17" t="s">
        <v>216</v>
      </c>
    </row>
    <row r="245" spans="1:8" x14ac:dyDescent="0.3">
      <c r="A245" s="17" t="s">
        <v>673</v>
      </c>
      <c r="B245" s="17" t="s">
        <v>674</v>
      </c>
      <c r="C245" s="18">
        <v>3770</v>
      </c>
      <c r="D245" s="18" t="s">
        <v>675</v>
      </c>
      <c r="E245" s="18" t="s">
        <v>255</v>
      </c>
      <c r="F245" s="17" t="s">
        <v>172</v>
      </c>
      <c r="G245" s="17">
        <v>3770</v>
      </c>
      <c r="H245" s="17" t="s">
        <v>675</v>
      </c>
    </row>
    <row r="246" spans="1:8" x14ac:dyDescent="0.3">
      <c r="A246" s="17" t="s">
        <v>673</v>
      </c>
      <c r="B246" s="17" t="s">
        <v>674</v>
      </c>
      <c r="C246" s="18">
        <v>3770</v>
      </c>
      <c r="D246" s="18" t="s">
        <v>675</v>
      </c>
      <c r="E246" s="18" t="s">
        <v>425</v>
      </c>
      <c r="F246" s="18" t="s">
        <v>483</v>
      </c>
      <c r="G246" s="17">
        <v>200</v>
      </c>
      <c r="H246" s="17" t="s">
        <v>676</v>
      </c>
    </row>
    <row r="249" spans="1:8" x14ac:dyDescent="0.3">
      <c r="A249" s="17" t="s">
        <v>681</v>
      </c>
      <c r="B249" s="17" t="s">
        <v>365</v>
      </c>
      <c r="C249" s="18">
        <v>5</v>
      </c>
      <c r="D249" s="18" t="s">
        <v>394</v>
      </c>
      <c r="E249" s="17" t="s">
        <v>223</v>
      </c>
      <c r="F249" s="17" t="s">
        <v>140</v>
      </c>
      <c r="G249" s="17">
        <v>5000</v>
      </c>
      <c r="H249" s="17" t="s">
        <v>676</v>
      </c>
    </row>
    <row r="250" spans="1:8" x14ac:dyDescent="0.3">
      <c r="A250" s="17" t="s">
        <v>681</v>
      </c>
      <c r="B250" s="17" t="s">
        <v>365</v>
      </c>
      <c r="C250" s="18">
        <v>5</v>
      </c>
      <c r="D250" s="18" t="s">
        <v>394</v>
      </c>
      <c r="E250" s="18" t="s">
        <v>234</v>
      </c>
      <c r="F250" s="17" t="s">
        <v>151</v>
      </c>
      <c r="G250" s="17">
        <v>40</v>
      </c>
      <c r="H250" s="18" t="s">
        <v>676</v>
      </c>
    </row>
    <row r="251" spans="1:8" x14ac:dyDescent="0.3">
      <c r="A251" s="17" t="s">
        <v>681</v>
      </c>
      <c r="B251" s="17" t="s">
        <v>365</v>
      </c>
      <c r="C251" s="18">
        <v>5</v>
      </c>
      <c r="D251" s="18" t="s">
        <v>394</v>
      </c>
      <c r="E251" s="18">
        <f>'PRODUCTOS PLANTA PRODUCCION'!A189</f>
        <v>0</v>
      </c>
      <c r="F251" s="17" t="s">
        <v>391</v>
      </c>
      <c r="G251" s="17">
        <v>10000</v>
      </c>
      <c r="H251" s="17" t="s">
        <v>675</v>
      </c>
    </row>
    <row r="252" spans="1:8" x14ac:dyDescent="0.3">
      <c r="A252" s="17" t="s">
        <v>681</v>
      </c>
      <c r="B252" s="17" t="s">
        <v>365</v>
      </c>
      <c r="C252" s="18">
        <v>5</v>
      </c>
      <c r="D252" s="18" t="s">
        <v>394</v>
      </c>
      <c r="E252" s="18" t="s">
        <v>275</v>
      </c>
      <c r="F252" s="17" t="s">
        <v>191</v>
      </c>
      <c r="G252" s="17">
        <v>1</v>
      </c>
      <c r="H252" s="17" t="s">
        <v>108</v>
      </c>
    </row>
    <row r="254" spans="1:8" x14ac:dyDescent="0.3">
      <c r="A254" s="17" t="s">
        <v>712</v>
      </c>
      <c r="B254" s="17" t="s">
        <v>725</v>
      </c>
      <c r="C254" s="18">
        <v>26</v>
      </c>
      <c r="D254" s="18" t="s">
        <v>727</v>
      </c>
      <c r="E254" s="18" t="s">
        <v>599</v>
      </c>
      <c r="F254" s="31" t="s">
        <v>724</v>
      </c>
      <c r="G254" s="17">
        <v>489</v>
      </c>
      <c r="H254" s="17" t="s">
        <v>676</v>
      </c>
    </row>
    <row r="255" spans="1:8" x14ac:dyDescent="0.3">
      <c r="A255" s="17" t="s">
        <v>712</v>
      </c>
      <c r="B255" s="17" t="s">
        <v>725</v>
      </c>
      <c r="C255" s="18">
        <v>26</v>
      </c>
      <c r="D255" s="18" t="s">
        <v>727</v>
      </c>
      <c r="E255" s="18" t="s">
        <v>600</v>
      </c>
      <c r="F255" s="31" t="s">
        <v>718</v>
      </c>
      <c r="G255" s="17">
        <v>0.5</v>
      </c>
      <c r="H255" s="17" t="s">
        <v>676</v>
      </c>
    </row>
    <row r="256" spans="1:8" x14ac:dyDescent="0.3">
      <c r="A256" s="17" t="s">
        <v>712</v>
      </c>
      <c r="B256" s="17" t="s">
        <v>725</v>
      </c>
      <c r="C256" s="18">
        <v>26</v>
      </c>
      <c r="D256" s="18" t="s">
        <v>727</v>
      </c>
      <c r="E256" s="18" t="s">
        <v>601</v>
      </c>
      <c r="F256" s="31" t="s">
        <v>719</v>
      </c>
      <c r="G256" s="17">
        <v>36.700000000000003</v>
      </c>
      <c r="H256" s="17" t="s">
        <v>676</v>
      </c>
    </row>
    <row r="257" spans="1:8" x14ac:dyDescent="0.3">
      <c r="A257" s="17" t="s">
        <v>712</v>
      </c>
      <c r="B257" s="17" t="s">
        <v>725</v>
      </c>
      <c r="C257" s="18">
        <v>26</v>
      </c>
      <c r="D257" s="18" t="s">
        <v>727</v>
      </c>
      <c r="E257" s="18" t="s">
        <v>602</v>
      </c>
      <c r="F257" s="31" t="s">
        <v>720</v>
      </c>
      <c r="G257" s="17">
        <v>3</v>
      </c>
      <c r="H257" s="17" t="s">
        <v>676</v>
      </c>
    </row>
    <row r="258" spans="1:8" x14ac:dyDescent="0.3">
      <c r="A258" s="17" t="s">
        <v>712</v>
      </c>
      <c r="B258" s="17" t="s">
        <v>725</v>
      </c>
      <c r="C258" s="18">
        <v>26</v>
      </c>
      <c r="D258" s="18" t="s">
        <v>727</v>
      </c>
      <c r="E258" s="18" t="s">
        <v>603</v>
      </c>
      <c r="F258" s="31" t="s">
        <v>721</v>
      </c>
      <c r="G258" s="17">
        <v>146</v>
      </c>
      <c r="H258" s="17" t="s">
        <v>676</v>
      </c>
    </row>
    <row r="259" spans="1:8" x14ac:dyDescent="0.3">
      <c r="A259" s="17" t="s">
        <v>712</v>
      </c>
      <c r="B259" s="17" t="s">
        <v>725</v>
      </c>
      <c r="C259" s="18">
        <v>26</v>
      </c>
      <c r="D259" s="18" t="s">
        <v>727</v>
      </c>
      <c r="E259" s="18" t="s">
        <v>604</v>
      </c>
      <c r="F259" s="31" t="s">
        <v>722</v>
      </c>
      <c r="G259" s="17">
        <v>29.3</v>
      </c>
      <c r="H259" s="17" t="s">
        <v>676</v>
      </c>
    </row>
    <row r="260" spans="1:8" x14ac:dyDescent="0.3">
      <c r="A260" s="17" t="s">
        <v>712</v>
      </c>
      <c r="B260" s="17" t="s">
        <v>725</v>
      </c>
      <c r="C260" s="18">
        <v>26</v>
      </c>
      <c r="D260" s="18" t="s">
        <v>727</v>
      </c>
      <c r="E260" s="18" t="s">
        <v>605</v>
      </c>
      <c r="F260" s="31" t="s">
        <v>723</v>
      </c>
      <c r="G260" s="17">
        <v>9.8000000000000007</v>
      </c>
      <c r="H260" s="17" t="s">
        <v>676</v>
      </c>
    </row>
    <row r="261" spans="1:8" x14ac:dyDescent="0.3">
      <c r="A261" s="17" t="s">
        <v>712</v>
      </c>
      <c r="B261" s="17" t="s">
        <v>725</v>
      </c>
      <c r="C261" s="18">
        <v>26</v>
      </c>
      <c r="D261" s="18" t="s">
        <v>727</v>
      </c>
      <c r="E261" s="18" t="s">
        <v>234</v>
      </c>
      <c r="F261" s="18" t="s">
        <v>151</v>
      </c>
      <c r="G261" s="17">
        <v>12.2</v>
      </c>
      <c r="H261" s="17" t="s">
        <v>676</v>
      </c>
    </row>
    <row r="262" spans="1:8" x14ac:dyDescent="0.3">
      <c r="A262" s="17" t="s">
        <v>712</v>
      </c>
      <c r="B262" s="17" t="s">
        <v>725</v>
      </c>
      <c r="C262" s="18">
        <v>26</v>
      </c>
      <c r="D262" s="18" t="s">
        <v>727</v>
      </c>
      <c r="E262" s="18">
        <f>'PRODUCTOS PLANTA PRODUCCION'!A200</f>
        <v>0</v>
      </c>
      <c r="F262" s="18" t="s">
        <v>391</v>
      </c>
      <c r="G262" s="17">
        <v>146.69999999999999</v>
      </c>
      <c r="H262" s="17" t="s">
        <v>675</v>
      </c>
    </row>
    <row r="263" spans="1:8" x14ac:dyDescent="0.3">
      <c r="A263" s="17" t="s">
        <v>712</v>
      </c>
      <c r="B263" s="17" t="s">
        <v>725</v>
      </c>
      <c r="C263" s="18">
        <v>26</v>
      </c>
      <c r="D263" s="18" t="s">
        <v>727</v>
      </c>
      <c r="E263" s="18" t="s">
        <v>264</v>
      </c>
      <c r="F263" s="18" t="s">
        <v>404</v>
      </c>
      <c r="G263" s="17">
        <v>73.3</v>
      </c>
      <c r="H263" s="17" t="s">
        <v>676</v>
      </c>
    </row>
    <row r="264" spans="1:8" x14ac:dyDescent="0.3">
      <c r="A264" s="17" t="s">
        <v>712</v>
      </c>
      <c r="B264" s="17" t="s">
        <v>725</v>
      </c>
      <c r="C264" s="18">
        <v>26</v>
      </c>
      <c r="D264" s="18" t="s">
        <v>727</v>
      </c>
      <c r="E264" s="18" t="s">
        <v>275</v>
      </c>
      <c r="F264" s="17" t="s">
        <v>191</v>
      </c>
      <c r="G264" s="17">
        <v>2</v>
      </c>
      <c r="H264" s="17" t="s">
        <v>108</v>
      </c>
    </row>
    <row r="266" spans="1:8" x14ac:dyDescent="0.3">
      <c r="A266" s="17" t="s">
        <v>726</v>
      </c>
      <c r="B266" s="17" t="s">
        <v>731</v>
      </c>
      <c r="C266" s="18">
        <v>100</v>
      </c>
      <c r="D266" s="18" t="s">
        <v>727</v>
      </c>
      <c r="E266" s="18" t="s">
        <v>714</v>
      </c>
      <c r="F266" s="31" t="s">
        <v>730</v>
      </c>
      <c r="G266" s="17">
        <v>4500</v>
      </c>
      <c r="H266" s="17" t="s">
        <v>676</v>
      </c>
    </row>
    <row r="267" spans="1:8" x14ac:dyDescent="0.3">
      <c r="A267" s="17" t="s">
        <v>726</v>
      </c>
      <c r="B267" s="17" t="s">
        <v>731</v>
      </c>
      <c r="C267" s="18">
        <v>100</v>
      </c>
      <c r="D267" s="18" t="s">
        <v>727</v>
      </c>
      <c r="E267" s="18" t="s">
        <v>222</v>
      </c>
      <c r="F267" s="18" t="s">
        <v>382</v>
      </c>
      <c r="G267" s="17">
        <v>1500</v>
      </c>
      <c r="H267" s="17" t="s">
        <v>676</v>
      </c>
    </row>
    <row r="268" spans="1:8" x14ac:dyDescent="0.3">
      <c r="A268" s="17" t="s">
        <v>726</v>
      </c>
      <c r="B268" s="17" t="s">
        <v>731</v>
      </c>
      <c r="C268" s="18">
        <v>100</v>
      </c>
      <c r="D268" s="18" t="s">
        <v>727</v>
      </c>
      <c r="E268" s="18" t="s">
        <v>275</v>
      </c>
      <c r="F268" s="17" t="s">
        <v>191</v>
      </c>
      <c r="G268" s="17">
        <v>5</v>
      </c>
      <c r="H268" s="17" t="s">
        <v>108</v>
      </c>
    </row>
    <row r="270" spans="1:8" x14ac:dyDescent="0.3">
      <c r="A270" s="17" t="s">
        <v>734</v>
      </c>
      <c r="B270" s="17" t="s">
        <v>735</v>
      </c>
      <c r="C270" s="18">
        <v>500</v>
      </c>
      <c r="D270" s="18" t="s">
        <v>727</v>
      </c>
      <c r="E270" s="17" t="s">
        <v>601</v>
      </c>
      <c r="F270" s="32" t="s">
        <v>719</v>
      </c>
      <c r="G270" s="17">
        <v>5000</v>
      </c>
      <c r="H270" s="17" t="s">
        <v>676</v>
      </c>
    </row>
    <row r="271" spans="1:8" x14ac:dyDescent="0.3">
      <c r="A271" s="17" t="s">
        <v>734</v>
      </c>
      <c r="B271" s="17" t="s">
        <v>735</v>
      </c>
      <c r="C271" s="18">
        <v>500</v>
      </c>
      <c r="D271" s="18" t="s">
        <v>727</v>
      </c>
      <c r="E271" s="17" t="s">
        <v>246</v>
      </c>
      <c r="F271" s="17" t="s">
        <v>164</v>
      </c>
      <c r="G271" s="17">
        <v>25</v>
      </c>
      <c r="H271" s="17" t="s">
        <v>676</v>
      </c>
    </row>
    <row r="272" spans="1:8" x14ac:dyDescent="0.3">
      <c r="A272" s="17" t="s">
        <v>734</v>
      </c>
      <c r="B272" s="17" t="s">
        <v>735</v>
      </c>
      <c r="C272" s="18">
        <v>500</v>
      </c>
      <c r="D272" s="18" t="s">
        <v>727</v>
      </c>
      <c r="E272" s="17" t="s">
        <v>37</v>
      </c>
      <c r="F272" s="17" t="s">
        <v>113</v>
      </c>
      <c r="G272" s="17">
        <v>30</v>
      </c>
      <c r="H272" s="17" t="s">
        <v>676</v>
      </c>
    </row>
    <row r="273" spans="1:8" x14ac:dyDescent="0.3">
      <c r="A273" s="17" t="s">
        <v>734</v>
      </c>
      <c r="B273" s="17" t="s">
        <v>735</v>
      </c>
      <c r="C273" s="18">
        <v>500</v>
      </c>
      <c r="D273" s="18" t="s">
        <v>727</v>
      </c>
      <c r="E273" s="17" t="s">
        <v>291</v>
      </c>
      <c r="F273" s="17" t="s">
        <v>206</v>
      </c>
      <c r="G273" s="17">
        <v>40</v>
      </c>
      <c r="H273" s="17" t="s">
        <v>676</v>
      </c>
    </row>
    <row r="274" spans="1:8" ht="15" customHeight="1" x14ac:dyDescent="0.3">
      <c r="A274" s="17" t="s">
        <v>734</v>
      </c>
      <c r="B274" s="17" t="s">
        <v>735</v>
      </c>
      <c r="C274" s="18">
        <v>500</v>
      </c>
      <c r="D274" s="18" t="s">
        <v>727</v>
      </c>
      <c r="E274" s="17" t="s">
        <v>715</v>
      </c>
      <c r="F274" s="32" t="s">
        <v>736</v>
      </c>
      <c r="G274" s="17">
        <v>250</v>
      </c>
      <c r="H274" s="17" t="s">
        <v>676</v>
      </c>
    </row>
    <row r="275" spans="1:8" x14ac:dyDescent="0.3">
      <c r="A275" s="17" t="s">
        <v>734</v>
      </c>
      <c r="B275" s="17" t="s">
        <v>735</v>
      </c>
      <c r="C275" s="18">
        <v>500</v>
      </c>
      <c r="D275" s="18" t="s">
        <v>727</v>
      </c>
      <c r="E275" s="18" t="s">
        <v>275</v>
      </c>
      <c r="F275" s="17" t="s">
        <v>191</v>
      </c>
      <c r="G275" s="17">
        <v>10</v>
      </c>
      <c r="H275" s="17" t="s">
        <v>108</v>
      </c>
    </row>
  </sheetData>
  <autoFilter ref="A2:H12" xr:uid="{1AA0E362-BA86-F248-BC63-2995B7F248FB}"/>
  <phoneticPr fontId="4" type="noConversion"/>
  <hyperlinks>
    <hyperlink ref="E2" location="'Productos (Ingredientes.)'!A1" display="Cod Ingrediente" xr:uid="{E3D724E8-38D3-0B48-8F40-BB8430C8BEDB}"/>
    <hyperlink ref="F2" location="'Productos (Ingredientes.)'!B1" display="Ingredientes " xr:uid="{A756CCE4-2D06-A346-A9CD-552F1877BE80}"/>
  </hyperlinks>
  <pageMargins left="0.7" right="0.7" top="0.75" bottom="0.75" header="0.3" footer="0.3"/>
  <pageSetup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38337-80D8-7646-8881-C60050E01B2A}">
  <dimension ref="A1:H427"/>
  <sheetViews>
    <sheetView showGridLines="0" tabSelected="1" topLeftCell="A402" workbookViewId="0">
      <selection activeCell="D429" sqref="D429"/>
    </sheetView>
  </sheetViews>
  <sheetFormatPr baseColWidth="10" defaultRowHeight="14.4" x14ac:dyDescent="0.3"/>
  <cols>
    <col min="1" max="1" width="26.6640625" style="14" customWidth="1"/>
    <col min="2" max="2" width="26.21875" style="14" customWidth="1"/>
    <col min="3" max="3" width="14.5546875" style="14" bestFit="1" customWidth="1"/>
    <col min="4" max="4" width="31.77734375" style="14" bestFit="1" customWidth="1"/>
    <col min="5" max="6" width="11.5546875" style="14"/>
    <col min="7" max="7" width="20" customWidth="1"/>
    <col min="8" max="8" width="21.21875" style="14" customWidth="1"/>
  </cols>
  <sheetData>
    <row r="1" spans="1:8" x14ac:dyDescent="0.3">
      <c r="A1" s="15" t="s">
        <v>124</v>
      </c>
      <c r="B1" s="15" t="s">
        <v>118</v>
      </c>
      <c r="C1" s="15" t="s">
        <v>126</v>
      </c>
      <c r="D1" s="15" t="s">
        <v>119</v>
      </c>
      <c r="E1" s="14" t="s">
        <v>112</v>
      </c>
      <c r="F1" s="14" t="s">
        <v>40</v>
      </c>
      <c r="G1" t="s">
        <v>611</v>
      </c>
      <c r="H1" s="14" t="s">
        <v>627</v>
      </c>
    </row>
    <row r="2" spans="1:8" x14ac:dyDescent="0.3">
      <c r="B2" s="18" t="s">
        <v>609</v>
      </c>
      <c r="C2" s="18" t="s">
        <v>434</v>
      </c>
      <c r="D2" s="18" t="s">
        <v>610</v>
      </c>
      <c r="E2" s="18">
        <v>1</v>
      </c>
      <c r="F2" s="18" t="s">
        <v>108</v>
      </c>
      <c r="G2" s="18" t="s">
        <v>612</v>
      </c>
      <c r="H2" s="18"/>
    </row>
    <row r="3" spans="1:8" x14ac:dyDescent="0.3">
      <c r="B3" s="18" t="s">
        <v>613</v>
      </c>
      <c r="C3" s="18" t="str">
        <f>'PRODUCTOS GENERALES PEYBU '!A29</f>
        <v>PEY28</v>
      </c>
      <c r="D3" s="18" t="s">
        <v>614</v>
      </c>
      <c r="E3" s="18">
        <v>1</v>
      </c>
      <c r="F3" s="18" t="s">
        <v>108</v>
      </c>
      <c r="G3" s="18" t="s">
        <v>612</v>
      </c>
      <c r="H3" s="18"/>
    </row>
    <row r="4" spans="1:8" x14ac:dyDescent="0.3">
      <c r="B4" s="18" t="s">
        <v>616</v>
      </c>
      <c r="C4" s="18" t="s">
        <v>436</v>
      </c>
      <c r="D4" s="18" t="s">
        <v>615</v>
      </c>
      <c r="E4" s="18">
        <v>1</v>
      </c>
      <c r="F4" s="18" t="s">
        <v>108</v>
      </c>
      <c r="G4" s="18" t="s">
        <v>612</v>
      </c>
      <c r="H4" s="18"/>
    </row>
    <row r="5" spans="1:8" x14ac:dyDescent="0.3">
      <c r="B5" s="18" t="s">
        <v>617</v>
      </c>
      <c r="C5" s="18" t="s">
        <v>436</v>
      </c>
      <c r="D5" s="18" t="s">
        <v>615</v>
      </c>
      <c r="E5" s="18">
        <v>1</v>
      </c>
      <c r="F5" s="18" t="s">
        <v>108</v>
      </c>
      <c r="G5" s="18" t="s">
        <v>612</v>
      </c>
      <c r="H5" s="18"/>
    </row>
    <row r="6" spans="1:8" x14ac:dyDescent="0.3">
      <c r="B6" s="18" t="s">
        <v>618</v>
      </c>
      <c r="C6" s="18" t="s">
        <v>436</v>
      </c>
      <c r="D6" s="18" t="s">
        <v>615</v>
      </c>
      <c r="E6" s="18">
        <v>1</v>
      </c>
      <c r="F6" s="18" t="s">
        <v>108</v>
      </c>
      <c r="G6" s="18" t="s">
        <v>612</v>
      </c>
      <c r="H6" s="18"/>
    </row>
    <row r="7" spans="1:8" x14ac:dyDescent="0.3">
      <c r="A7" s="14" t="s">
        <v>620</v>
      </c>
      <c r="B7" s="18" t="s">
        <v>619</v>
      </c>
      <c r="C7" s="18" t="s">
        <v>411</v>
      </c>
      <c r="D7" s="18" t="s">
        <v>625</v>
      </c>
      <c r="E7" s="18">
        <v>650</v>
      </c>
      <c r="F7" s="18" t="s">
        <v>621</v>
      </c>
      <c r="G7" s="18" t="s">
        <v>612</v>
      </c>
      <c r="H7" s="18"/>
    </row>
    <row r="8" spans="1:8" x14ac:dyDescent="0.3">
      <c r="B8" s="18" t="s">
        <v>619</v>
      </c>
      <c r="C8" s="18" t="s">
        <v>448</v>
      </c>
      <c r="D8" s="18" t="s">
        <v>505</v>
      </c>
      <c r="E8" s="18">
        <v>1</v>
      </c>
      <c r="F8" s="18" t="s">
        <v>108</v>
      </c>
      <c r="G8" s="18" t="s">
        <v>612</v>
      </c>
      <c r="H8" s="18"/>
    </row>
    <row r="9" spans="1:8" x14ac:dyDescent="0.3">
      <c r="B9" s="18" t="s">
        <v>619</v>
      </c>
      <c r="C9" s="18" t="s">
        <v>449</v>
      </c>
      <c r="D9" s="18" t="s">
        <v>626</v>
      </c>
      <c r="E9" s="18">
        <v>1</v>
      </c>
      <c r="F9" s="18" t="s">
        <v>108</v>
      </c>
      <c r="G9" s="18" t="s">
        <v>612</v>
      </c>
      <c r="H9" s="18" t="s">
        <v>628</v>
      </c>
    </row>
    <row r="10" spans="1:8" x14ac:dyDescent="0.3">
      <c r="A10" s="14" t="s">
        <v>620</v>
      </c>
      <c r="B10" s="18" t="s">
        <v>631</v>
      </c>
      <c r="C10" s="18" t="s">
        <v>406</v>
      </c>
      <c r="D10" s="18" t="s">
        <v>632</v>
      </c>
      <c r="E10" s="18">
        <v>650</v>
      </c>
      <c r="F10" s="18" t="s">
        <v>621</v>
      </c>
      <c r="G10" s="18" t="s">
        <v>612</v>
      </c>
      <c r="H10" s="18"/>
    </row>
    <row r="11" spans="1:8" x14ac:dyDescent="0.3">
      <c r="B11" s="18" t="s">
        <v>631</v>
      </c>
      <c r="C11" s="18" t="s">
        <v>448</v>
      </c>
      <c r="D11" s="18" t="s">
        <v>505</v>
      </c>
      <c r="E11" s="18">
        <v>1</v>
      </c>
      <c r="F11" s="18" t="s">
        <v>108</v>
      </c>
      <c r="G11" s="18" t="s">
        <v>612</v>
      </c>
      <c r="H11" s="18"/>
    </row>
    <row r="12" spans="1:8" x14ac:dyDescent="0.3">
      <c r="B12" s="18" t="s">
        <v>631</v>
      </c>
      <c r="C12" s="18" t="s">
        <v>449</v>
      </c>
      <c r="D12" s="18" t="s">
        <v>626</v>
      </c>
      <c r="E12" s="18">
        <v>1</v>
      </c>
      <c r="F12" s="18" t="s">
        <v>108</v>
      </c>
      <c r="G12" s="18" t="s">
        <v>612</v>
      </c>
      <c r="H12" s="18" t="s">
        <v>628</v>
      </c>
    </row>
    <row r="13" spans="1:8" x14ac:dyDescent="0.3">
      <c r="A13" s="14" t="s">
        <v>620</v>
      </c>
      <c r="B13" s="18" t="s">
        <v>633</v>
      </c>
      <c r="C13" s="18" t="s">
        <v>409</v>
      </c>
      <c r="D13" s="18" t="s">
        <v>634</v>
      </c>
      <c r="E13" s="18">
        <v>650</v>
      </c>
      <c r="F13" s="18" t="s">
        <v>621</v>
      </c>
      <c r="G13" s="18" t="s">
        <v>612</v>
      </c>
      <c r="H13" s="18"/>
    </row>
    <row r="14" spans="1:8" x14ac:dyDescent="0.3">
      <c r="B14" s="18" t="s">
        <v>633</v>
      </c>
      <c r="C14" s="18" t="s">
        <v>448</v>
      </c>
      <c r="D14" s="18" t="s">
        <v>505</v>
      </c>
      <c r="E14" s="18">
        <v>1</v>
      </c>
      <c r="F14" s="18" t="s">
        <v>108</v>
      </c>
      <c r="G14" s="18" t="s">
        <v>612</v>
      </c>
      <c r="H14" s="18"/>
    </row>
    <row r="15" spans="1:8" x14ac:dyDescent="0.3">
      <c r="B15" s="18" t="s">
        <v>633</v>
      </c>
      <c r="C15" s="18" t="s">
        <v>449</v>
      </c>
      <c r="D15" s="18" t="s">
        <v>626</v>
      </c>
      <c r="E15" s="18">
        <v>1</v>
      </c>
      <c r="F15" s="18" t="s">
        <v>108</v>
      </c>
      <c r="G15" s="18" t="s">
        <v>612</v>
      </c>
      <c r="H15" s="18" t="s">
        <v>628</v>
      </c>
    </row>
    <row r="16" spans="1:8" x14ac:dyDescent="0.3">
      <c r="A16" s="14" t="s">
        <v>620</v>
      </c>
      <c r="B16" s="18" t="s">
        <v>635</v>
      </c>
      <c r="C16" s="18" t="s">
        <v>551</v>
      </c>
      <c r="D16" s="18" t="s">
        <v>636</v>
      </c>
      <c r="E16" s="18">
        <v>27</v>
      </c>
      <c r="F16" s="18" t="s">
        <v>309</v>
      </c>
      <c r="G16" s="18" t="s">
        <v>641</v>
      </c>
      <c r="H16" s="18"/>
    </row>
    <row r="17" spans="1:8" x14ac:dyDescent="0.3">
      <c r="B17" s="18" t="s">
        <v>635</v>
      </c>
      <c r="C17" s="18" t="s">
        <v>553</v>
      </c>
      <c r="D17" s="18" t="s">
        <v>637</v>
      </c>
      <c r="E17" s="18">
        <v>105</v>
      </c>
      <c r="F17" s="18" t="s">
        <v>325</v>
      </c>
      <c r="G17" s="18" t="s">
        <v>641</v>
      </c>
      <c r="H17" s="18"/>
    </row>
    <row r="18" spans="1:8" x14ac:dyDescent="0.3">
      <c r="B18" s="18" t="s">
        <v>635</v>
      </c>
      <c r="C18" s="18" t="s">
        <v>431</v>
      </c>
      <c r="D18" s="18" t="s">
        <v>490</v>
      </c>
      <c r="E18" s="18">
        <v>4</v>
      </c>
      <c r="F18" s="18" t="s">
        <v>309</v>
      </c>
      <c r="G18" s="18" t="s">
        <v>641</v>
      </c>
      <c r="H18" s="18"/>
    </row>
    <row r="19" spans="1:8" x14ac:dyDescent="0.3">
      <c r="B19" s="18" t="s">
        <v>635</v>
      </c>
      <c r="C19" s="18" t="s">
        <v>425</v>
      </c>
      <c r="D19" s="18" t="s">
        <v>483</v>
      </c>
      <c r="E19" s="18">
        <v>25</v>
      </c>
      <c r="F19" s="18" t="s">
        <v>309</v>
      </c>
      <c r="G19" s="18" t="s">
        <v>641</v>
      </c>
      <c r="H19" s="18"/>
    </row>
    <row r="20" spans="1:8" x14ac:dyDescent="0.3">
      <c r="B20" s="18" t="s">
        <v>635</v>
      </c>
      <c r="C20" s="18" t="s">
        <v>429</v>
      </c>
      <c r="D20" s="18" t="s">
        <v>488</v>
      </c>
      <c r="E20" s="18">
        <v>0.5</v>
      </c>
      <c r="F20" s="18" t="s">
        <v>325</v>
      </c>
      <c r="G20" s="18" t="s">
        <v>641</v>
      </c>
      <c r="H20" s="18"/>
    </row>
    <row r="21" spans="1:8" x14ac:dyDescent="0.3">
      <c r="B21" s="18" t="s">
        <v>635</v>
      </c>
      <c r="C21" s="18" t="s">
        <v>430</v>
      </c>
      <c r="D21" s="18" t="s">
        <v>489</v>
      </c>
      <c r="E21" s="18">
        <v>25</v>
      </c>
      <c r="F21" s="18" t="s">
        <v>325</v>
      </c>
      <c r="G21" s="18" t="s">
        <v>641</v>
      </c>
      <c r="H21" s="18"/>
    </row>
    <row r="22" spans="1:8" x14ac:dyDescent="0.3">
      <c r="B22" s="18" t="s">
        <v>635</v>
      </c>
      <c r="C22" s="18" t="s">
        <v>448</v>
      </c>
      <c r="D22" s="18" t="s">
        <v>505</v>
      </c>
      <c r="E22" s="18">
        <v>1</v>
      </c>
      <c r="F22" s="18" t="s">
        <v>108</v>
      </c>
      <c r="G22" s="18" t="s">
        <v>641</v>
      </c>
      <c r="H22" s="18"/>
    </row>
    <row r="23" spans="1:8" x14ac:dyDescent="0.3">
      <c r="B23" s="18" t="s">
        <v>635</v>
      </c>
      <c r="C23" s="18" t="s">
        <v>449</v>
      </c>
      <c r="D23" s="18" t="s">
        <v>626</v>
      </c>
      <c r="E23" s="18">
        <v>1</v>
      </c>
      <c r="F23" s="18" t="s">
        <v>108</v>
      </c>
      <c r="G23" s="18" t="s">
        <v>641</v>
      </c>
      <c r="H23" s="18" t="s">
        <v>628</v>
      </c>
    </row>
    <row r="24" spans="1:8" x14ac:dyDescent="0.3">
      <c r="B24" s="18" t="s">
        <v>635</v>
      </c>
      <c r="C24" s="18" t="s">
        <v>433</v>
      </c>
      <c r="D24" s="18" t="s">
        <v>492</v>
      </c>
      <c r="E24" s="18">
        <v>1</v>
      </c>
      <c r="F24" s="18" t="s">
        <v>108</v>
      </c>
      <c r="G24" s="18" t="s">
        <v>641</v>
      </c>
      <c r="H24" s="18"/>
    </row>
    <row r="25" spans="1:8" x14ac:dyDescent="0.3">
      <c r="B25" s="18" t="s">
        <v>635</v>
      </c>
      <c r="C25" s="18" t="s">
        <v>432</v>
      </c>
      <c r="D25" s="24" t="s">
        <v>491</v>
      </c>
      <c r="E25" s="18">
        <v>1</v>
      </c>
      <c r="F25" s="18" t="s">
        <v>108</v>
      </c>
      <c r="G25" s="18" t="s">
        <v>641</v>
      </c>
      <c r="H25" s="18"/>
    </row>
    <row r="26" spans="1:8" x14ac:dyDescent="0.3">
      <c r="A26" s="14" t="s">
        <v>638</v>
      </c>
      <c r="B26" s="18" t="s">
        <v>639</v>
      </c>
      <c r="C26" s="18" t="s">
        <v>455</v>
      </c>
      <c r="D26" s="18" t="s">
        <v>511</v>
      </c>
      <c r="E26" s="18">
        <v>1</v>
      </c>
      <c r="F26" s="18" t="s">
        <v>108</v>
      </c>
      <c r="G26" s="18" t="s">
        <v>641</v>
      </c>
      <c r="H26" s="18"/>
    </row>
    <row r="27" spans="1:8" x14ac:dyDescent="0.3">
      <c r="B27" s="18" t="s">
        <v>639</v>
      </c>
      <c r="C27" s="18" t="s">
        <v>456</v>
      </c>
      <c r="D27" s="18" t="s">
        <v>512</v>
      </c>
      <c r="E27" s="18">
        <v>1</v>
      </c>
      <c r="F27" s="18" t="s">
        <v>108</v>
      </c>
      <c r="G27" s="18" t="s">
        <v>641</v>
      </c>
      <c r="H27" s="18" t="s">
        <v>628</v>
      </c>
    </row>
    <row r="28" spans="1:8" x14ac:dyDescent="0.3">
      <c r="B28" s="18" t="s">
        <v>639</v>
      </c>
      <c r="C28" s="18" t="s">
        <v>114</v>
      </c>
      <c r="D28" s="18" t="s">
        <v>312</v>
      </c>
      <c r="E28" s="18">
        <v>45</v>
      </c>
      <c r="F28" s="18" t="s">
        <v>325</v>
      </c>
      <c r="G28" s="18" t="s">
        <v>641</v>
      </c>
      <c r="H28" s="18"/>
    </row>
    <row r="29" spans="1:8" x14ac:dyDescent="0.3">
      <c r="A29" s="14" t="s">
        <v>638</v>
      </c>
      <c r="B29" s="18" t="s">
        <v>640</v>
      </c>
      <c r="C29" s="18" t="s">
        <v>297</v>
      </c>
      <c r="D29" s="24" t="s">
        <v>478</v>
      </c>
      <c r="E29" s="18">
        <v>3</v>
      </c>
      <c r="F29" s="18" t="s">
        <v>108</v>
      </c>
      <c r="G29" s="18" t="s">
        <v>641</v>
      </c>
      <c r="H29" s="18"/>
    </row>
    <row r="30" spans="1:8" x14ac:dyDescent="0.3">
      <c r="B30" s="18" t="s">
        <v>640</v>
      </c>
      <c r="C30" s="18" t="s">
        <v>422</v>
      </c>
      <c r="D30" s="24" t="s">
        <v>608</v>
      </c>
      <c r="E30" s="18">
        <v>3</v>
      </c>
      <c r="F30" s="18" t="s">
        <v>108</v>
      </c>
      <c r="G30" s="18" t="s">
        <v>642</v>
      </c>
      <c r="H30" s="18"/>
    </row>
    <row r="31" spans="1:8" x14ac:dyDescent="0.3">
      <c r="B31" s="18" t="s">
        <v>643</v>
      </c>
      <c r="C31" s="18" t="s">
        <v>586</v>
      </c>
      <c r="D31" s="18" t="s">
        <v>644</v>
      </c>
      <c r="E31" s="18">
        <v>50</v>
      </c>
      <c r="F31" s="18" t="s">
        <v>309</v>
      </c>
      <c r="G31" s="18" t="s">
        <v>645</v>
      </c>
      <c r="H31" s="18"/>
    </row>
    <row r="32" spans="1:8" x14ac:dyDescent="0.3">
      <c r="B32" s="18" t="s">
        <v>643</v>
      </c>
      <c r="C32" s="18" t="s">
        <v>455</v>
      </c>
      <c r="D32" s="18" t="s">
        <v>511</v>
      </c>
      <c r="E32" s="18">
        <v>1</v>
      </c>
      <c r="F32" s="18" t="s">
        <v>108</v>
      </c>
      <c r="G32" s="18" t="s">
        <v>645</v>
      </c>
      <c r="H32" s="18"/>
    </row>
    <row r="33" spans="1:8" x14ac:dyDescent="0.3">
      <c r="B33" s="18" t="s">
        <v>643</v>
      </c>
      <c r="C33" s="18" t="s">
        <v>456</v>
      </c>
      <c r="D33" s="18" t="s">
        <v>512</v>
      </c>
      <c r="E33" s="18">
        <v>1</v>
      </c>
      <c r="F33" s="18" t="s">
        <v>108</v>
      </c>
      <c r="G33" s="18" t="s">
        <v>645</v>
      </c>
      <c r="H33" s="18" t="s">
        <v>628</v>
      </c>
    </row>
    <row r="34" spans="1:8" x14ac:dyDescent="0.3">
      <c r="B34" s="18" t="s">
        <v>646</v>
      </c>
      <c r="C34" s="18" t="s">
        <v>34</v>
      </c>
      <c r="D34" s="18" t="s">
        <v>128</v>
      </c>
      <c r="E34" s="18">
        <v>50</v>
      </c>
      <c r="F34" s="18" t="s">
        <v>309</v>
      </c>
      <c r="G34" s="18" t="s">
        <v>645</v>
      </c>
      <c r="H34" s="18"/>
    </row>
    <row r="35" spans="1:8" x14ac:dyDescent="0.3">
      <c r="B35" s="18" t="s">
        <v>646</v>
      </c>
      <c r="C35" s="18" t="s">
        <v>455</v>
      </c>
      <c r="D35" s="18" t="s">
        <v>511</v>
      </c>
      <c r="E35" s="18">
        <v>1</v>
      </c>
      <c r="F35" s="18" t="s">
        <v>108</v>
      </c>
      <c r="G35" s="18" t="s">
        <v>645</v>
      </c>
      <c r="H35" s="18"/>
    </row>
    <row r="36" spans="1:8" x14ac:dyDescent="0.3">
      <c r="B36" s="18" t="s">
        <v>646</v>
      </c>
      <c r="C36" s="18" t="s">
        <v>456</v>
      </c>
      <c r="D36" s="18" t="s">
        <v>512</v>
      </c>
      <c r="E36" s="18">
        <v>1</v>
      </c>
      <c r="F36" s="18" t="s">
        <v>108</v>
      </c>
      <c r="G36" s="18" t="s">
        <v>645</v>
      </c>
      <c r="H36" s="18" t="s">
        <v>628</v>
      </c>
    </row>
    <row r="37" spans="1:8" x14ac:dyDescent="0.3">
      <c r="B37" s="18" t="s">
        <v>647</v>
      </c>
      <c r="C37" s="18" t="s">
        <v>380</v>
      </c>
      <c r="D37" s="18" t="s">
        <v>381</v>
      </c>
      <c r="E37" s="18">
        <v>240</v>
      </c>
      <c r="F37" s="18" t="s">
        <v>325</v>
      </c>
      <c r="G37" s="18" t="s">
        <v>641</v>
      </c>
      <c r="H37" s="18"/>
    </row>
    <row r="38" spans="1:8" x14ac:dyDescent="0.3">
      <c r="B38" s="18" t="s">
        <v>647</v>
      </c>
      <c r="C38" s="18" t="s">
        <v>457</v>
      </c>
      <c r="D38" s="18" t="s">
        <v>513</v>
      </c>
      <c r="E38" s="18">
        <v>1</v>
      </c>
      <c r="F38" s="18" t="s">
        <v>108</v>
      </c>
      <c r="G38" s="18" t="s">
        <v>641</v>
      </c>
      <c r="H38" s="18"/>
    </row>
    <row r="39" spans="1:8" x14ac:dyDescent="0.3">
      <c r="B39" s="18" t="s">
        <v>647</v>
      </c>
      <c r="C39" s="18" t="s">
        <v>458</v>
      </c>
      <c r="D39" s="18" t="s">
        <v>514</v>
      </c>
      <c r="E39" s="18">
        <v>1</v>
      </c>
      <c r="F39" s="18" t="s">
        <v>108</v>
      </c>
      <c r="G39" s="18" t="s">
        <v>641</v>
      </c>
      <c r="H39" s="18"/>
    </row>
    <row r="40" spans="1:8" x14ac:dyDescent="0.3">
      <c r="A40" s="14" t="s">
        <v>648</v>
      </c>
      <c r="B40" s="18" t="s">
        <v>649</v>
      </c>
      <c r="C40" s="18" t="s">
        <v>297</v>
      </c>
      <c r="D40" s="24" t="s">
        <v>478</v>
      </c>
      <c r="E40" s="18">
        <v>1</v>
      </c>
      <c r="F40" s="18" t="s">
        <v>108</v>
      </c>
      <c r="G40" s="18" t="s">
        <v>641</v>
      </c>
      <c r="H40" s="18"/>
    </row>
    <row r="41" spans="1:8" x14ac:dyDescent="0.3">
      <c r="B41" s="18" t="s">
        <v>649</v>
      </c>
      <c r="C41" s="18" t="s">
        <v>587</v>
      </c>
      <c r="D41" s="14" t="s">
        <v>650</v>
      </c>
      <c r="E41" s="18">
        <v>15</v>
      </c>
      <c r="F41" s="18" t="s">
        <v>309</v>
      </c>
      <c r="G41" s="18" t="s">
        <v>641</v>
      </c>
      <c r="H41" s="18"/>
    </row>
    <row r="42" spans="1:8" x14ac:dyDescent="0.3">
      <c r="B42" s="18" t="s">
        <v>649</v>
      </c>
      <c r="C42" s="18" t="s">
        <v>367</v>
      </c>
      <c r="D42" s="18" t="s">
        <v>419</v>
      </c>
      <c r="E42" s="18">
        <v>1</v>
      </c>
      <c r="F42" s="18" t="s">
        <v>309</v>
      </c>
      <c r="G42" s="18" t="s">
        <v>641</v>
      </c>
      <c r="H42" s="18"/>
    </row>
    <row r="43" spans="1:8" x14ac:dyDescent="0.3">
      <c r="B43" s="18" t="s">
        <v>649</v>
      </c>
      <c r="C43" s="18" t="s">
        <v>425</v>
      </c>
      <c r="D43" s="18" t="s">
        <v>483</v>
      </c>
      <c r="E43" s="18">
        <v>35</v>
      </c>
      <c r="F43" s="18" t="s">
        <v>309</v>
      </c>
      <c r="G43" s="18" t="s">
        <v>641</v>
      </c>
      <c r="H43" s="18"/>
    </row>
    <row r="44" spans="1:8" x14ac:dyDescent="0.3">
      <c r="B44" s="18" t="s">
        <v>649</v>
      </c>
      <c r="C44" s="18" t="s">
        <v>110</v>
      </c>
      <c r="D44" s="18" t="s">
        <v>307</v>
      </c>
      <c r="E44" s="18">
        <v>45</v>
      </c>
      <c r="F44" s="18" t="s">
        <v>325</v>
      </c>
      <c r="G44" s="18" t="s">
        <v>641</v>
      </c>
      <c r="H44" s="18"/>
    </row>
    <row r="45" spans="1:8" x14ac:dyDescent="0.3">
      <c r="B45" s="18" t="s">
        <v>649</v>
      </c>
      <c r="C45" s="18" t="s">
        <v>455</v>
      </c>
      <c r="D45" s="18" t="s">
        <v>511</v>
      </c>
      <c r="E45" s="18">
        <v>1</v>
      </c>
      <c r="F45" s="18" t="s">
        <v>108</v>
      </c>
      <c r="G45" s="18" t="s">
        <v>641</v>
      </c>
      <c r="H45" s="18"/>
    </row>
    <row r="46" spans="1:8" x14ac:dyDescent="0.3">
      <c r="B46" s="18" t="s">
        <v>649</v>
      </c>
      <c r="C46" s="18" t="s">
        <v>456</v>
      </c>
      <c r="D46" s="18" t="s">
        <v>512</v>
      </c>
      <c r="E46" s="18">
        <v>1</v>
      </c>
      <c r="F46" s="18" t="s">
        <v>108</v>
      </c>
      <c r="G46" s="18" t="s">
        <v>641</v>
      </c>
      <c r="H46" s="18"/>
    </row>
    <row r="47" spans="1:8" x14ac:dyDescent="0.3">
      <c r="B47" s="18" t="s">
        <v>649</v>
      </c>
      <c r="C47" s="18" t="s">
        <v>450</v>
      </c>
      <c r="D47" s="18" t="s">
        <v>654</v>
      </c>
      <c r="E47" s="18">
        <v>1</v>
      </c>
      <c r="F47" s="18" t="s">
        <v>108</v>
      </c>
      <c r="G47" s="18" t="s">
        <v>641</v>
      </c>
      <c r="H47" s="18"/>
    </row>
    <row r="48" spans="1:8" x14ac:dyDescent="0.3">
      <c r="B48" s="18" t="s">
        <v>649</v>
      </c>
      <c r="C48" s="18" t="s">
        <v>438</v>
      </c>
      <c r="D48" s="18" t="s">
        <v>497</v>
      </c>
      <c r="E48" s="18">
        <v>20</v>
      </c>
      <c r="F48" s="18" t="s">
        <v>309</v>
      </c>
      <c r="G48" s="18" t="s">
        <v>641</v>
      </c>
      <c r="H48" s="18"/>
    </row>
    <row r="49" spans="1:8" x14ac:dyDescent="0.3">
      <c r="B49" s="25" t="s">
        <v>649</v>
      </c>
      <c r="C49" s="18" t="s">
        <v>423</v>
      </c>
      <c r="D49" s="18" t="s">
        <v>481</v>
      </c>
      <c r="E49" s="18">
        <v>5</v>
      </c>
      <c r="F49" s="18" t="s">
        <v>309</v>
      </c>
      <c r="G49" s="18" t="s">
        <v>641</v>
      </c>
      <c r="H49" s="18"/>
    </row>
    <row r="50" spans="1:8" x14ac:dyDescent="0.3">
      <c r="B50" s="25" t="s">
        <v>649</v>
      </c>
      <c r="C50" s="18" t="s">
        <v>424</v>
      </c>
      <c r="D50" s="18" t="s">
        <v>482</v>
      </c>
      <c r="E50" s="18">
        <v>5</v>
      </c>
      <c r="F50" s="18" t="s">
        <v>309</v>
      </c>
      <c r="G50" s="18" t="s">
        <v>641</v>
      </c>
      <c r="H50" s="18"/>
    </row>
    <row r="51" spans="1:8" x14ac:dyDescent="0.3">
      <c r="B51" s="25" t="s">
        <v>649</v>
      </c>
      <c r="C51" s="18" t="s">
        <v>439</v>
      </c>
      <c r="D51" s="18" t="s">
        <v>498</v>
      </c>
      <c r="E51" s="18">
        <v>0.23</v>
      </c>
      <c r="F51" s="18" t="s">
        <v>108</v>
      </c>
      <c r="G51" s="18" t="s">
        <v>641</v>
      </c>
      <c r="H51" s="18" t="s">
        <v>628</v>
      </c>
    </row>
    <row r="52" spans="1:8" x14ac:dyDescent="0.3">
      <c r="B52" s="25" t="s">
        <v>649</v>
      </c>
      <c r="C52" s="18" t="s">
        <v>441</v>
      </c>
      <c r="D52" s="18" t="s">
        <v>500</v>
      </c>
      <c r="E52" s="18">
        <v>1</v>
      </c>
      <c r="F52" s="18" t="s">
        <v>108</v>
      </c>
      <c r="G52" s="18" t="s">
        <v>641</v>
      </c>
      <c r="H52" s="18" t="s">
        <v>628</v>
      </c>
    </row>
    <row r="53" spans="1:8" x14ac:dyDescent="0.3">
      <c r="A53" s="14" t="s">
        <v>648</v>
      </c>
      <c r="B53" s="18" t="s">
        <v>652</v>
      </c>
      <c r="C53" s="18" t="s">
        <v>297</v>
      </c>
      <c r="D53" s="24" t="s">
        <v>478</v>
      </c>
      <c r="E53" s="18">
        <v>2</v>
      </c>
      <c r="F53" s="18" t="s">
        <v>108</v>
      </c>
      <c r="G53" s="18" t="s">
        <v>641</v>
      </c>
      <c r="H53" s="18"/>
    </row>
    <row r="54" spans="1:8" x14ac:dyDescent="0.3">
      <c r="B54" s="18" t="s">
        <v>652</v>
      </c>
      <c r="C54" s="18" t="s">
        <v>367</v>
      </c>
      <c r="D54" s="18" t="s">
        <v>419</v>
      </c>
      <c r="E54" s="18">
        <v>20</v>
      </c>
      <c r="F54" s="18" t="s">
        <v>309</v>
      </c>
      <c r="G54" s="18" t="s">
        <v>641</v>
      </c>
      <c r="H54" s="18"/>
    </row>
    <row r="55" spans="1:8" x14ac:dyDescent="0.3">
      <c r="B55" s="18" t="s">
        <v>652</v>
      </c>
      <c r="C55" s="18" t="s">
        <v>425</v>
      </c>
      <c r="D55" s="18" t="s">
        <v>483</v>
      </c>
      <c r="E55" s="18">
        <v>35</v>
      </c>
      <c r="F55" s="18" t="s">
        <v>309</v>
      </c>
      <c r="G55" s="18" t="s">
        <v>641</v>
      </c>
      <c r="H55" s="18"/>
    </row>
    <row r="56" spans="1:8" x14ac:dyDescent="0.3">
      <c r="B56" s="18" t="s">
        <v>652</v>
      </c>
      <c r="C56" s="18" t="s">
        <v>110</v>
      </c>
      <c r="D56" s="18" t="s">
        <v>307</v>
      </c>
      <c r="E56" s="18">
        <v>45</v>
      </c>
      <c r="F56" s="18" t="s">
        <v>325</v>
      </c>
      <c r="G56" s="18" t="s">
        <v>641</v>
      </c>
      <c r="H56" s="18"/>
    </row>
    <row r="57" spans="1:8" x14ac:dyDescent="0.3">
      <c r="B57" s="18" t="s">
        <v>652</v>
      </c>
      <c r="C57" s="18" t="s">
        <v>455</v>
      </c>
      <c r="D57" s="18" t="s">
        <v>511</v>
      </c>
      <c r="E57" s="18">
        <v>1</v>
      </c>
      <c r="F57" s="18" t="s">
        <v>108</v>
      </c>
      <c r="G57" s="18" t="s">
        <v>641</v>
      </c>
      <c r="H57" s="18"/>
    </row>
    <row r="58" spans="1:8" x14ac:dyDescent="0.3">
      <c r="B58" s="18" t="s">
        <v>652</v>
      </c>
      <c r="C58" s="18" t="s">
        <v>456</v>
      </c>
      <c r="D58" s="18" t="s">
        <v>512</v>
      </c>
      <c r="E58" s="18">
        <v>1</v>
      </c>
      <c r="F58" s="18" t="s">
        <v>108</v>
      </c>
      <c r="G58" s="18" t="s">
        <v>641</v>
      </c>
      <c r="H58" s="18"/>
    </row>
    <row r="59" spans="1:8" x14ac:dyDescent="0.3">
      <c r="B59" s="18" t="s">
        <v>652</v>
      </c>
      <c r="C59" s="18" t="s">
        <v>450</v>
      </c>
      <c r="D59" s="18" t="s">
        <v>654</v>
      </c>
      <c r="E59" s="18">
        <v>1</v>
      </c>
      <c r="F59" s="18" t="s">
        <v>108</v>
      </c>
      <c r="G59" s="18" t="s">
        <v>641</v>
      </c>
      <c r="H59" s="18"/>
    </row>
    <row r="60" spans="1:8" x14ac:dyDescent="0.3">
      <c r="B60" s="18" t="s">
        <v>652</v>
      </c>
      <c r="C60" s="18" t="s">
        <v>438</v>
      </c>
      <c r="D60" s="18" t="s">
        <v>497</v>
      </c>
      <c r="E60" s="18">
        <v>1</v>
      </c>
      <c r="F60" s="18" t="s">
        <v>309</v>
      </c>
      <c r="G60" s="18" t="s">
        <v>641</v>
      </c>
      <c r="H60" s="18"/>
    </row>
    <row r="61" spans="1:8" x14ac:dyDescent="0.3">
      <c r="B61" s="18" t="s">
        <v>652</v>
      </c>
      <c r="C61" s="18" t="s">
        <v>423</v>
      </c>
      <c r="D61" s="18" t="s">
        <v>481</v>
      </c>
      <c r="E61" s="18">
        <v>5</v>
      </c>
      <c r="F61" s="18" t="s">
        <v>309</v>
      </c>
      <c r="G61" s="18" t="s">
        <v>641</v>
      </c>
      <c r="H61" s="18"/>
    </row>
    <row r="62" spans="1:8" x14ac:dyDescent="0.3">
      <c r="B62" s="18" t="s">
        <v>652</v>
      </c>
      <c r="C62" s="18" t="s">
        <v>424</v>
      </c>
      <c r="D62" s="18" t="s">
        <v>482</v>
      </c>
      <c r="E62" s="18">
        <v>5</v>
      </c>
      <c r="F62" s="18" t="s">
        <v>309</v>
      </c>
      <c r="G62" s="18" t="s">
        <v>641</v>
      </c>
      <c r="H62" s="18"/>
    </row>
    <row r="63" spans="1:8" x14ac:dyDescent="0.3">
      <c r="B63" s="18" t="s">
        <v>652</v>
      </c>
      <c r="C63" s="18" t="s">
        <v>439</v>
      </c>
      <c r="D63" s="18" t="s">
        <v>498</v>
      </c>
      <c r="E63" s="18">
        <v>0.23</v>
      </c>
      <c r="F63" s="18" t="s">
        <v>108</v>
      </c>
      <c r="G63" s="18" t="s">
        <v>641</v>
      </c>
      <c r="H63" s="18" t="s">
        <v>628</v>
      </c>
    </row>
    <row r="64" spans="1:8" x14ac:dyDescent="0.3">
      <c r="B64" s="18" t="s">
        <v>652</v>
      </c>
      <c r="C64" s="18" t="s">
        <v>441</v>
      </c>
      <c r="D64" s="18" t="s">
        <v>500</v>
      </c>
      <c r="E64" s="18">
        <v>1</v>
      </c>
      <c r="F64" s="18" t="s">
        <v>108</v>
      </c>
      <c r="G64" s="18" t="s">
        <v>641</v>
      </c>
      <c r="H64" s="18" t="s">
        <v>628</v>
      </c>
    </row>
    <row r="65" spans="1:8" x14ac:dyDescent="0.3">
      <c r="A65" s="14" t="s">
        <v>648</v>
      </c>
      <c r="B65" s="18" t="s">
        <v>653</v>
      </c>
      <c r="C65" s="18" t="s">
        <v>297</v>
      </c>
      <c r="D65" s="24" t="s">
        <v>478</v>
      </c>
      <c r="E65" s="18">
        <v>2</v>
      </c>
      <c r="F65" s="18" t="s">
        <v>108</v>
      </c>
      <c r="G65" s="18" t="s">
        <v>641</v>
      </c>
      <c r="H65" s="18"/>
    </row>
    <row r="66" spans="1:8" x14ac:dyDescent="0.3">
      <c r="B66" s="18" t="s">
        <v>653</v>
      </c>
      <c r="C66" s="18" t="s">
        <v>587</v>
      </c>
      <c r="D66" s="14" t="s">
        <v>650</v>
      </c>
      <c r="E66" s="18">
        <v>15</v>
      </c>
      <c r="F66" s="18" t="s">
        <v>309</v>
      </c>
      <c r="G66" s="18" t="s">
        <v>641</v>
      </c>
      <c r="H66" s="18"/>
    </row>
    <row r="67" spans="1:8" x14ac:dyDescent="0.3">
      <c r="B67" s="18" t="s">
        <v>653</v>
      </c>
      <c r="C67" s="18" t="s">
        <v>367</v>
      </c>
      <c r="D67" s="18" t="s">
        <v>419</v>
      </c>
      <c r="E67" s="18">
        <v>20</v>
      </c>
      <c r="F67" s="18" t="s">
        <v>309</v>
      </c>
      <c r="G67" s="18" t="s">
        <v>641</v>
      </c>
      <c r="H67" s="18"/>
    </row>
    <row r="68" spans="1:8" x14ac:dyDescent="0.3">
      <c r="B68" s="18" t="s">
        <v>653</v>
      </c>
      <c r="C68" s="18" t="s">
        <v>425</v>
      </c>
      <c r="D68" s="18" t="s">
        <v>483</v>
      </c>
      <c r="E68" s="18">
        <v>35</v>
      </c>
      <c r="F68" s="18" t="s">
        <v>309</v>
      </c>
      <c r="G68" s="18" t="s">
        <v>641</v>
      </c>
      <c r="H68" s="18"/>
    </row>
    <row r="69" spans="1:8" x14ac:dyDescent="0.3">
      <c r="B69" s="18" t="s">
        <v>653</v>
      </c>
      <c r="C69" s="18" t="s">
        <v>110</v>
      </c>
      <c r="D69" s="18" t="s">
        <v>307</v>
      </c>
      <c r="E69" s="18">
        <v>45</v>
      </c>
      <c r="F69" s="18" t="s">
        <v>325</v>
      </c>
      <c r="G69" s="18" t="s">
        <v>641</v>
      </c>
      <c r="H69" s="18"/>
    </row>
    <row r="70" spans="1:8" x14ac:dyDescent="0.3">
      <c r="B70" s="18" t="s">
        <v>653</v>
      </c>
      <c r="C70" s="18" t="s">
        <v>455</v>
      </c>
      <c r="D70" s="18" t="s">
        <v>511</v>
      </c>
      <c r="E70" s="18">
        <v>1</v>
      </c>
      <c r="F70" s="18" t="s">
        <v>108</v>
      </c>
      <c r="G70" s="18" t="s">
        <v>641</v>
      </c>
      <c r="H70" s="18"/>
    </row>
    <row r="71" spans="1:8" x14ac:dyDescent="0.3">
      <c r="B71" s="18" t="s">
        <v>653</v>
      </c>
      <c r="C71" s="18" t="s">
        <v>456</v>
      </c>
      <c r="D71" s="18" t="s">
        <v>512</v>
      </c>
      <c r="E71" s="18">
        <v>1</v>
      </c>
      <c r="F71" s="18" t="s">
        <v>108</v>
      </c>
      <c r="G71" s="18" t="s">
        <v>641</v>
      </c>
      <c r="H71" s="18"/>
    </row>
    <row r="72" spans="1:8" x14ac:dyDescent="0.3">
      <c r="B72" s="18" t="s">
        <v>653</v>
      </c>
      <c r="C72" s="18" t="s">
        <v>450</v>
      </c>
      <c r="D72" s="18" t="s">
        <v>654</v>
      </c>
      <c r="E72" s="18">
        <v>1</v>
      </c>
      <c r="F72" s="18" t="s">
        <v>108</v>
      </c>
      <c r="G72" s="18" t="s">
        <v>641</v>
      </c>
      <c r="H72" s="18"/>
    </row>
    <row r="73" spans="1:8" x14ac:dyDescent="0.3">
      <c r="B73" s="18" t="s">
        <v>653</v>
      </c>
      <c r="C73" s="18" t="s">
        <v>438</v>
      </c>
      <c r="D73" s="18" t="s">
        <v>497</v>
      </c>
      <c r="E73" s="18">
        <v>1</v>
      </c>
      <c r="F73" s="18" t="s">
        <v>309</v>
      </c>
      <c r="G73" s="18" t="s">
        <v>641</v>
      </c>
      <c r="H73" s="18"/>
    </row>
    <row r="74" spans="1:8" x14ac:dyDescent="0.3">
      <c r="B74" s="18" t="s">
        <v>653</v>
      </c>
      <c r="C74" s="18" t="s">
        <v>423</v>
      </c>
      <c r="D74" s="18" t="s">
        <v>481</v>
      </c>
      <c r="E74" s="18">
        <v>5</v>
      </c>
      <c r="F74" s="18" t="s">
        <v>309</v>
      </c>
      <c r="G74" s="18" t="s">
        <v>641</v>
      </c>
      <c r="H74" s="18"/>
    </row>
    <row r="75" spans="1:8" x14ac:dyDescent="0.3">
      <c r="B75" s="18" t="s">
        <v>653</v>
      </c>
      <c r="C75" s="18" t="s">
        <v>424</v>
      </c>
      <c r="D75" s="18" t="s">
        <v>482</v>
      </c>
      <c r="E75" s="18">
        <v>5</v>
      </c>
      <c r="F75" s="18" t="s">
        <v>309</v>
      </c>
      <c r="G75" s="18" t="s">
        <v>641</v>
      </c>
      <c r="H75" s="18"/>
    </row>
    <row r="76" spans="1:8" x14ac:dyDescent="0.3">
      <c r="B76" s="18" t="s">
        <v>653</v>
      </c>
      <c r="C76" s="18" t="s">
        <v>439</v>
      </c>
      <c r="D76" s="18" t="s">
        <v>498</v>
      </c>
      <c r="E76" s="18">
        <v>0.23</v>
      </c>
      <c r="F76" s="18" t="s">
        <v>108</v>
      </c>
      <c r="G76" s="18" t="s">
        <v>641</v>
      </c>
      <c r="H76" s="18" t="s">
        <v>628</v>
      </c>
    </row>
    <row r="77" spans="1:8" x14ac:dyDescent="0.3">
      <c r="B77" s="18" t="s">
        <v>653</v>
      </c>
      <c r="C77" s="18" t="s">
        <v>441</v>
      </c>
      <c r="D77" s="18" t="s">
        <v>500</v>
      </c>
      <c r="E77" s="18">
        <v>1</v>
      </c>
      <c r="F77" s="18" t="s">
        <v>108</v>
      </c>
      <c r="G77" s="18" t="s">
        <v>641</v>
      </c>
      <c r="H77" s="18" t="s">
        <v>628</v>
      </c>
    </row>
    <row r="78" spans="1:8" x14ac:dyDescent="0.3">
      <c r="A78" s="14" t="s">
        <v>648</v>
      </c>
      <c r="B78" s="18" t="s">
        <v>655</v>
      </c>
      <c r="C78" s="18" t="s">
        <v>297</v>
      </c>
      <c r="D78" s="24" t="s">
        <v>478</v>
      </c>
      <c r="E78" s="18">
        <v>1</v>
      </c>
      <c r="F78" s="18" t="s">
        <v>108</v>
      </c>
      <c r="G78" s="18" t="s">
        <v>641</v>
      </c>
      <c r="H78" s="18"/>
    </row>
    <row r="79" spans="1:8" x14ac:dyDescent="0.3">
      <c r="B79" s="18" t="s">
        <v>655</v>
      </c>
      <c r="C79" s="18" t="s">
        <v>367</v>
      </c>
      <c r="D79" s="18" t="s">
        <v>419</v>
      </c>
      <c r="E79" s="18">
        <v>20</v>
      </c>
      <c r="F79" s="18" t="s">
        <v>309</v>
      </c>
      <c r="G79" s="18" t="s">
        <v>641</v>
      </c>
      <c r="H79" s="18"/>
    </row>
    <row r="80" spans="1:8" x14ac:dyDescent="0.3">
      <c r="B80" s="18" t="s">
        <v>655</v>
      </c>
      <c r="C80" s="18" t="s">
        <v>425</v>
      </c>
      <c r="D80" s="18" t="s">
        <v>483</v>
      </c>
      <c r="E80" s="18">
        <v>35</v>
      </c>
      <c r="F80" s="18" t="s">
        <v>309</v>
      </c>
      <c r="G80" s="18" t="s">
        <v>641</v>
      </c>
      <c r="H80" s="18"/>
    </row>
    <row r="81" spans="1:8" x14ac:dyDescent="0.3">
      <c r="B81" s="18" t="s">
        <v>655</v>
      </c>
      <c r="C81" s="18" t="s">
        <v>110</v>
      </c>
      <c r="D81" s="18" t="s">
        <v>307</v>
      </c>
      <c r="E81" s="18">
        <v>45</v>
      </c>
      <c r="F81" s="18" t="s">
        <v>325</v>
      </c>
      <c r="G81" s="18" t="s">
        <v>641</v>
      </c>
      <c r="H81" s="18"/>
    </row>
    <row r="82" spans="1:8" x14ac:dyDescent="0.3">
      <c r="B82" s="18" t="s">
        <v>655</v>
      </c>
      <c r="C82" s="18" t="s">
        <v>455</v>
      </c>
      <c r="D82" s="18" t="s">
        <v>511</v>
      </c>
      <c r="E82" s="18">
        <v>1</v>
      </c>
      <c r="F82" s="18" t="s">
        <v>108</v>
      </c>
      <c r="G82" s="18" t="s">
        <v>641</v>
      </c>
      <c r="H82" s="18"/>
    </row>
    <row r="83" spans="1:8" x14ac:dyDescent="0.3">
      <c r="B83" s="18" t="s">
        <v>655</v>
      </c>
      <c r="C83" s="18" t="s">
        <v>456</v>
      </c>
      <c r="D83" s="18" t="s">
        <v>512</v>
      </c>
      <c r="E83" s="18">
        <v>1</v>
      </c>
      <c r="F83" s="18" t="s">
        <v>108</v>
      </c>
      <c r="G83" s="18" t="s">
        <v>641</v>
      </c>
      <c r="H83" s="18"/>
    </row>
    <row r="84" spans="1:8" x14ac:dyDescent="0.3">
      <c r="B84" s="18" t="s">
        <v>655</v>
      </c>
      <c r="C84" s="18" t="s">
        <v>450</v>
      </c>
      <c r="D84" s="18" t="s">
        <v>654</v>
      </c>
      <c r="E84" s="18">
        <v>1</v>
      </c>
      <c r="F84" s="18" t="s">
        <v>108</v>
      </c>
      <c r="G84" s="18" t="s">
        <v>641</v>
      </c>
      <c r="H84" s="18"/>
    </row>
    <row r="85" spans="1:8" x14ac:dyDescent="0.3">
      <c r="B85" s="18" t="s">
        <v>655</v>
      </c>
      <c r="C85" s="18" t="s">
        <v>438</v>
      </c>
      <c r="D85" s="18" t="s">
        <v>497</v>
      </c>
      <c r="E85" s="18">
        <v>1</v>
      </c>
      <c r="F85" s="18" t="s">
        <v>309</v>
      </c>
      <c r="G85" s="18" t="s">
        <v>641</v>
      </c>
      <c r="H85" s="18"/>
    </row>
    <row r="86" spans="1:8" x14ac:dyDescent="0.3">
      <c r="B86" s="18" t="s">
        <v>655</v>
      </c>
      <c r="C86" s="18" t="s">
        <v>423</v>
      </c>
      <c r="D86" s="18" t="s">
        <v>481</v>
      </c>
      <c r="E86" s="18">
        <v>5</v>
      </c>
      <c r="F86" s="18" t="s">
        <v>309</v>
      </c>
      <c r="G86" s="18" t="s">
        <v>641</v>
      </c>
      <c r="H86" s="18"/>
    </row>
    <row r="87" spans="1:8" x14ac:dyDescent="0.3">
      <c r="B87" s="18" t="s">
        <v>655</v>
      </c>
      <c r="C87" s="18" t="s">
        <v>424</v>
      </c>
      <c r="D87" s="18" t="s">
        <v>482</v>
      </c>
      <c r="E87" s="18">
        <v>5</v>
      </c>
      <c r="F87" s="18" t="s">
        <v>309</v>
      </c>
      <c r="G87" s="18" t="s">
        <v>641</v>
      </c>
      <c r="H87" s="18"/>
    </row>
    <row r="88" spans="1:8" x14ac:dyDescent="0.3">
      <c r="B88" s="18" t="s">
        <v>655</v>
      </c>
      <c r="C88" s="18" t="s">
        <v>439</v>
      </c>
      <c r="D88" s="18" t="s">
        <v>498</v>
      </c>
      <c r="E88" s="18">
        <v>0.23</v>
      </c>
      <c r="F88" s="18" t="s">
        <v>108</v>
      </c>
      <c r="G88" s="18" t="s">
        <v>641</v>
      </c>
      <c r="H88" s="18" t="s">
        <v>628</v>
      </c>
    </row>
    <row r="89" spans="1:8" x14ac:dyDescent="0.3">
      <c r="B89" s="18" t="s">
        <v>655</v>
      </c>
      <c r="C89" s="18" t="s">
        <v>441</v>
      </c>
      <c r="D89" s="18" t="s">
        <v>500</v>
      </c>
      <c r="E89" s="18">
        <v>1</v>
      </c>
      <c r="F89" s="18" t="s">
        <v>108</v>
      </c>
      <c r="G89" s="18" t="s">
        <v>641</v>
      </c>
      <c r="H89" s="18" t="s">
        <v>628</v>
      </c>
    </row>
    <row r="90" spans="1:8" x14ac:dyDescent="0.3">
      <c r="A90" s="14" t="s">
        <v>648</v>
      </c>
      <c r="B90" s="18" t="s">
        <v>656</v>
      </c>
      <c r="C90" s="18" t="s">
        <v>420</v>
      </c>
      <c r="D90" s="24" t="s">
        <v>479</v>
      </c>
      <c r="E90" s="18">
        <v>1</v>
      </c>
      <c r="F90" s="18" t="s">
        <v>108</v>
      </c>
      <c r="G90" s="18" t="s">
        <v>641</v>
      </c>
      <c r="H90" s="18"/>
    </row>
    <row r="91" spans="1:8" x14ac:dyDescent="0.3">
      <c r="B91" s="18" t="s">
        <v>656</v>
      </c>
      <c r="C91" s="18" t="s">
        <v>367</v>
      </c>
      <c r="D91" s="18" t="s">
        <v>419</v>
      </c>
      <c r="E91" s="18">
        <v>35</v>
      </c>
      <c r="F91" s="18" t="s">
        <v>309</v>
      </c>
      <c r="G91" s="18" t="s">
        <v>641</v>
      </c>
      <c r="H91" s="18"/>
    </row>
    <row r="92" spans="1:8" x14ac:dyDescent="0.3">
      <c r="B92" s="18" t="s">
        <v>656</v>
      </c>
      <c r="C92" s="18" t="s">
        <v>587</v>
      </c>
      <c r="D92" s="14" t="s">
        <v>650</v>
      </c>
      <c r="E92" s="18">
        <v>25</v>
      </c>
      <c r="F92" s="18" t="s">
        <v>309</v>
      </c>
      <c r="G92" s="18" t="s">
        <v>641</v>
      </c>
      <c r="H92" s="18"/>
    </row>
    <row r="93" spans="1:8" x14ac:dyDescent="0.3">
      <c r="B93" s="18" t="s">
        <v>656</v>
      </c>
      <c r="C93" s="18" t="s">
        <v>425</v>
      </c>
      <c r="D93" s="18" t="s">
        <v>483</v>
      </c>
      <c r="E93" s="18">
        <v>35</v>
      </c>
      <c r="F93" s="18" t="s">
        <v>309</v>
      </c>
      <c r="G93" s="18" t="s">
        <v>641</v>
      </c>
      <c r="H93" s="18"/>
    </row>
    <row r="94" spans="1:8" x14ac:dyDescent="0.3">
      <c r="B94" s="18" t="s">
        <v>656</v>
      </c>
      <c r="C94" s="18" t="s">
        <v>110</v>
      </c>
      <c r="D94" s="18" t="s">
        <v>307</v>
      </c>
      <c r="E94" s="18">
        <v>45</v>
      </c>
      <c r="F94" s="18" t="s">
        <v>325</v>
      </c>
      <c r="G94" s="18" t="s">
        <v>641</v>
      </c>
      <c r="H94" s="18"/>
    </row>
    <row r="95" spans="1:8" x14ac:dyDescent="0.3">
      <c r="B95" s="18" t="s">
        <v>656</v>
      </c>
      <c r="C95" s="18" t="s">
        <v>455</v>
      </c>
      <c r="D95" s="18" t="s">
        <v>511</v>
      </c>
      <c r="E95" s="18">
        <v>1</v>
      </c>
      <c r="F95" s="18" t="s">
        <v>108</v>
      </c>
      <c r="G95" s="18" t="s">
        <v>641</v>
      </c>
      <c r="H95" s="18"/>
    </row>
    <row r="96" spans="1:8" x14ac:dyDescent="0.3">
      <c r="B96" s="18" t="s">
        <v>656</v>
      </c>
      <c r="C96" s="18" t="s">
        <v>456</v>
      </c>
      <c r="D96" s="18" t="s">
        <v>512</v>
      </c>
      <c r="E96" s="18">
        <v>1</v>
      </c>
      <c r="F96" s="18" t="s">
        <v>108</v>
      </c>
      <c r="G96" s="18" t="s">
        <v>641</v>
      </c>
      <c r="H96" s="18"/>
    </row>
    <row r="97" spans="1:8" x14ac:dyDescent="0.3">
      <c r="B97" s="18" t="s">
        <v>656</v>
      </c>
      <c r="C97" s="18" t="s">
        <v>450</v>
      </c>
      <c r="D97" s="18" t="s">
        <v>654</v>
      </c>
      <c r="E97" s="18">
        <v>1</v>
      </c>
      <c r="F97" s="18" t="s">
        <v>108</v>
      </c>
      <c r="G97" s="18" t="s">
        <v>641</v>
      </c>
      <c r="H97" s="18"/>
    </row>
    <row r="98" spans="1:8" x14ac:dyDescent="0.3">
      <c r="B98" s="18" t="s">
        <v>656</v>
      </c>
      <c r="C98" s="18" t="s">
        <v>438</v>
      </c>
      <c r="D98" s="18" t="s">
        <v>497</v>
      </c>
      <c r="E98" s="18">
        <v>1</v>
      </c>
      <c r="F98" s="18" t="s">
        <v>309</v>
      </c>
      <c r="G98" s="18" t="s">
        <v>641</v>
      </c>
      <c r="H98" s="18"/>
    </row>
    <row r="99" spans="1:8" x14ac:dyDescent="0.3">
      <c r="B99" s="18" t="s">
        <v>656</v>
      </c>
      <c r="C99" s="18" t="s">
        <v>423</v>
      </c>
      <c r="D99" s="18" t="s">
        <v>481</v>
      </c>
      <c r="E99" s="18">
        <v>5</v>
      </c>
      <c r="F99" s="18" t="s">
        <v>309</v>
      </c>
      <c r="G99" s="18" t="s">
        <v>641</v>
      </c>
      <c r="H99" s="18"/>
    </row>
    <row r="100" spans="1:8" x14ac:dyDescent="0.3">
      <c r="B100" s="18" t="s">
        <v>656</v>
      </c>
      <c r="C100" s="18" t="s">
        <v>424</v>
      </c>
      <c r="D100" s="18" t="s">
        <v>482</v>
      </c>
      <c r="E100" s="18">
        <v>5</v>
      </c>
      <c r="F100" s="18" t="s">
        <v>309</v>
      </c>
      <c r="G100" s="18" t="s">
        <v>641</v>
      </c>
      <c r="H100" s="18"/>
    </row>
    <row r="101" spans="1:8" x14ac:dyDescent="0.3">
      <c r="B101" s="18" t="s">
        <v>656</v>
      </c>
      <c r="C101" s="18" t="s">
        <v>439</v>
      </c>
      <c r="D101" s="18" t="s">
        <v>498</v>
      </c>
      <c r="E101" s="18">
        <v>0.23</v>
      </c>
      <c r="F101" s="18" t="s">
        <v>108</v>
      </c>
      <c r="G101" s="18" t="s">
        <v>641</v>
      </c>
      <c r="H101" s="18" t="s">
        <v>628</v>
      </c>
    </row>
    <row r="102" spans="1:8" x14ac:dyDescent="0.3">
      <c r="B102" s="18" t="s">
        <v>656</v>
      </c>
      <c r="C102" s="18" t="s">
        <v>441</v>
      </c>
      <c r="D102" s="18" t="s">
        <v>500</v>
      </c>
      <c r="E102" s="18">
        <v>1</v>
      </c>
      <c r="F102" s="18" t="s">
        <v>108</v>
      </c>
      <c r="G102" s="18" t="s">
        <v>641</v>
      </c>
      <c r="H102" s="18" t="s">
        <v>628</v>
      </c>
    </row>
    <row r="103" spans="1:8" x14ac:dyDescent="0.3">
      <c r="A103" s="14" t="s">
        <v>648</v>
      </c>
      <c r="B103" s="18" t="s">
        <v>657</v>
      </c>
      <c r="C103" s="18" t="s">
        <v>420</v>
      </c>
      <c r="D103" s="24" t="s">
        <v>479</v>
      </c>
      <c r="E103" s="18">
        <v>1</v>
      </c>
      <c r="F103" s="18" t="s">
        <v>108</v>
      </c>
      <c r="G103" s="18" t="s">
        <v>641</v>
      </c>
      <c r="H103" s="18"/>
    </row>
    <row r="104" spans="1:8" x14ac:dyDescent="0.3">
      <c r="B104" s="18" t="s">
        <v>657</v>
      </c>
      <c r="C104" s="18" t="s">
        <v>297</v>
      </c>
      <c r="D104" s="24" t="s">
        <v>478</v>
      </c>
      <c r="E104" s="18">
        <v>5</v>
      </c>
      <c r="F104" s="18" t="s">
        <v>108</v>
      </c>
      <c r="G104" s="18" t="s">
        <v>641</v>
      </c>
      <c r="H104" s="18"/>
    </row>
    <row r="105" spans="1:8" x14ac:dyDescent="0.3">
      <c r="B105" s="18" t="s">
        <v>657</v>
      </c>
      <c r="C105" s="18" t="s">
        <v>367</v>
      </c>
      <c r="D105" s="18" t="s">
        <v>419</v>
      </c>
      <c r="E105" s="18">
        <v>95</v>
      </c>
      <c r="F105" s="18" t="s">
        <v>309</v>
      </c>
      <c r="G105" s="18" t="s">
        <v>641</v>
      </c>
      <c r="H105" s="18"/>
    </row>
    <row r="106" spans="1:8" x14ac:dyDescent="0.3">
      <c r="B106" s="18" t="s">
        <v>657</v>
      </c>
      <c r="C106" s="18" t="s">
        <v>587</v>
      </c>
      <c r="D106" s="14" t="s">
        <v>650</v>
      </c>
      <c r="E106" s="18">
        <v>45</v>
      </c>
      <c r="F106" s="18" t="s">
        <v>309</v>
      </c>
      <c r="G106" s="18" t="s">
        <v>641</v>
      </c>
      <c r="H106" s="18"/>
    </row>
    <row r="107" spans="1:8" x14ac:dyDescent="0.3">
      <c r="B107" s="18" t="s">
        <v>657</v>
      </c>
      <c r="C107" s="18" t="s">
        <v>425</v>
      </c>
      <c r="D107" s="18" t="s">
        <v>483</v>
      </c>
      <c r="E107" s="18">
        <v>35</v>
      </c>
      <c r="F107" s="18" t="s">
        <v>309</v>
      </c>
      <c r="G107" s="18" t="s">
        <v>641</v>
      </c>
      <c r="H107" s="18"/>
    </row>
    <row r="108" spans="1:8" x14ac:dyDescent="0.3">
      <c r="B108" s="18" t="s">
        <v>657</v>
      </c>
      <c r="C108" s="18" t="s">
        <v>110</v>
      </c>
      <c r="D108" s="18" t="s">
        <v>307</v>
      </c>
      <c r="E108" s="18">
        <v>45</v>
      </c>
      <c r="F108" s="18" t="s">
        <v>325</v>
      </c>
      <c r="G108" s="18" t="s">
        <v>641</v>
      </c>
      <c r="H108" s="18"/>
    </row>
    <row r="109" spans="1:8" x14ac:dyDescent="0.3">
      <c r="B109" s="18" t="s">
        <v>657</v>
      </c>
      <c r="C109" s="18" t="s">
        <v>455</v>
      </c>
      <c r="D109" s="18" t="s">
        <v>511</v>
      </c>
      <c r="E109" s="18">
        <v>1</v>
      </c>
      <c r="F109" s="18" t="s">
        <v>108</v>
      </c>
      <c r="G109" s="18" t="s">
        <v>641</v>
      </c>
      <c r="H109" s="18"/>
    </row>
    <row r="110" spans="1:8" x14ac:dyDescent="0.3">
      <c r="B110" s="18" t="s">
        <v>657</v>
      </c>
      <c r="C110" s="18" t="s">
        <v>456</v>
      </c>
      <c r="D110" s="18" t="s">
        <v>512</v>
      </c>
      <c r="E110" s="18">
        <v>1</v>
      </c>
      <c r="F110" s="18" t="s">
        <v>108</v>
      </c>
      <c r="G110" s="18" t="s">
        <v>641</v>
      </c>
      <c r="H110" s="18"/>
    </row>
    <row r="111" spans="1:8" x14ac:dyDescent="0.3">
      <c r="B111" s="18" t="s">
        <v>657</v>
      </c>
      <c r="C111" s="14" t="s">
        <v>450</v>
      </c>
      <c r="D111" s="14" t="s">
        <v>651</v>
      </c>
      <c r="E111" s="18">
        <v>1</v>
      </c>
      <c r="F111" s="18" t="s">
        <v>108</v>
      </c>
      <c r="G111" s="18" t="s">
        <v>641</v>
      </c>
      <c r="H111" s="18"/>
    </row>
    <row r="112" spans="1:8" x14ac:dyDescent="0.3">
      <c r="B112" s="18" t="s">
        <v>657</v>
      </c>
      <c r="C112" s="18" t="s">
        <v>438</v>
      </c>
      <c r="D112" s="18" t="s">
        <v>497</v>
      </c>
      <c r="E112" s="18">
        <v>2</v>
      </c>
      <c r="F112" s="18" t="s">
        <v>309</v>
      </c>
      <c r="G112" s="18" t="s">
        <v>641</v>
      </c>
      <c r="H112" s="18"/>
    </row>
    <row r="113" spans="1:8" x14ac:dyDescent="0.3">
      <c r="B113" s="18" t="s">
        <v>657</v>
      </c>
      <c r="C113" s="18" t="s">
        <v>423</v>
      </c>
      <c r="D113" s="18" t="s">
        <v>481</v>
      </c>
      <c r="E113" s="18">
        <v>20</v>
      </c>
      <c r="F113" s="18" t="s">
        <v>309</v>
      </c>
      <c r="G113" s="18" t="s">
        <v>641</v>
      </c>
      <c r="H113" s="18"/>
    </row>
    <row r="114" spans="1:8" x14ac:dyDescent="0.3">
      <c r="B114" s="18" t="s">
        <v>657</v>
      </c>
      <c r="C114" s="18" t="s">
        <v>424</v>
      </c>
      <c r="D114" s="18" t="s">
        <v>482</v>
      </c>
      <c r="E114" s="18">
        <v>20</v>
      </c>
      <c r="F114" s="18" t="s">
        <v>309</v>
      </c>
      <c r="G114" s="18" t="s">
        <v>641</v>
      </c>
      <c r="H114" s="18"/>
    </row>
    <row r="115" spans="1:8" x14ac:dyDescent="0.3">
      <c r="B115" s="18" t="s">
        <v>657</v>
      </c>
      <c r="C115" s="18" t="s">
        <v>439</v>
      </c>
      <c r="D115" s="18" t="s">
        <v>498</v>
      </c>
      <c r="E115" s="18">
        <v>0.3</v>
      </c>
      <c r="F115" s="18" t="s">
        <v>108</v>
      </c>
      <c r="G115" s="18" t="s">
        <v>641</v>
      </c>
      <c r="H115" s="18" t="s">
        <v>628</v>
      </c>
    </row>
    <row r="116" spans="1:8" x14ac:dyDescent="0.3">
      <c r="B116" s="18" t="s">
        <v>657</v>
      </c>
      <c r="C116" s="18" t="s">
        <v>441</v>
      </c>
      <c r="D116" s="18" t="s">
        <v>500</v>
      </c>
      <c r="E116" s="18">
        <v>1</v>
      </c>
      <c r="F116" s="18" t="s">
        <v>108</v>
      </c>
      <c r="G116" s="18" t="s">
        <v>641</v>
      </c>
      <c r="H116" s="18" t="s">
        <v>628</v>
      </c>
    </row>
    <row r="117" spans="1:8" x14ac:dyDescent="0.3">
      <c r="A117" s="14" t="s">
        <v>648</v>
      </c>
      <c r="B117" s="18" t="s">
        <v>658</v>
      </c>
      <c r="C117" s="18" t="s">
        <v>367</v>
      </c>
      <c r="D117" s="18" t="s">
        <v>419</v>
      </c>
      <c r="E117" s="18">
        <v>80</v>
      </c>
      <c r="F117" s="18" t="s">
        <v>309</v>
      </c>
      <c r="G117" s="18" t="s">
        <v>641</v>
      </c>
      <c r="H117" s="18"/>
    </row>
    <row r="118" spans="1:8" x14ac:dyDescent="0.3">
      <c r="B118" s="18" t="s">
        <v>658</v>
      </c>
      <c r="C118" s="18" t="s">
        <v>297</v>
      </c>
      <c r="D118" s="24" t="s">
        <v>478</v>
      </c>
      <c r="E118" s="18">
        <v>3</v>
      </c>
      <c r="F118" s="18" t="s">
        <v>108</v>
      </c>
      <c r="G118" s="18" t="s">
        <v>641</v>
      </c>
      <c r="H118" s="18"/>
    </row>
    <row r="119" spans="1:8" x14ac:dyDescent="0.3">
      <c r="B119" s="18" t="s">
        <v>658</v>
      </c>
      <c r="C119" s="18" t="s">
        <v>425</v>
      </c>
      <c r="D119" s="18" t="s">
        <v>483</v>
      </c>
      <c r="E119" s="18">
        <v>35</v>
      </c>
      <c r="F119" s="18" t="s">
        <v>309</v>
      </c>
      <c r="G119" s="18" t="s">
        <v>641</v>
      </c>
      <c r="H119" s="18"/>
    </row>
    <row r="120" spans="1:8" x14ac:dyDescent="0.3">
      <c r="B120" s="18" t="s">
        <v>658</v>
      </c>
      <c r="C120" s="18" t="s">
        <v>110</v>
      </c>
      <c r="D120" s="18" t="s">
        <v>307</v>
      </c>
      <c r="E120" s="18">
        <v>45</v>
      </c>
      <c r="F120" s="18" t="s">
        <v>325</v>
      </c>
      <c r="G120" s="18" t="s">
        <v>641</v>
      </c>
      <c r="H120" s="18"/>
    </row>
    <row r="121" spans="1:8" x14ac:dyDescent="0.3">
      <c r="B121" s="18" t="s">
        <v>658</v>
      </c>
      <c r="C121" s="18" t="s">
        <v>455</v>
      </c>
      <c r="D121" s="18" t="s">
        <v>511</v>
      </c>
      <c r="E121" s="18">
        <v>1</v>
      </c>
      <c r="F121" s="18" t="s">
        <v>108</v>
      </c>
      <c r="G121" s="18" t="s">
        <v>641</v>
      </c>
      <c r="H121" s="18"/>
    </row>
    <row r="122" spans="1:8" x14ac:dyDescent="0.3">
      <c r="B122" s="18" t="s">
        <v>658</v>
      </c>
      <c r="C122" s="18" t="s">
        <v>456</v>
      </c>
      <c r="D122" s="18" t="s">
        <v>512</v>
      </c>
      <c r="E122" s="18">
        <v>1</v>
      </c>
      <c r="F122" s="18" t="s">
        <v>108</v>
      </c>
      <c r="G122" s="18" t="s">
        <v>641</v>
      </c>
      <c r="H122" s="18"/>
    </row>
    <row r="123" spans="1:8" x14ac:dyDescent="0.3">
      <c r="B123" s="18" t="s">
        <v>658</v>
      </c>
      <c r="C123" s="18" t="s">
        <v>423</v>
      </c>
      <c r="D123" s="18" t="s">
        <v>481</v>
      </c>
      <c r="E123" s="18">
        <v>5</v>
      </c>
      <c r="F123" s="18" t="s">
        <v>309</v>
      </c>
      <c r="G123" s="18" t="s">
        <v>641</v>
      </c>
      <c r="H123" s="18"/>
    </row>
    <row r="124" spans="1:8" x14ac:dyDescent="0.3">
      <c r="B124" s="18" t="s">
        <v>658</v>
      </c>
      <c r="C124" s="18" t="s">
        <v>424</v>
      </c>
      <c r="D124" s="18" t="s">
        <v>482</v>
      </c>
      <c r="E124" s="18">
        <v>5</v>
      </c>
      <c r="F124" s="18" t="s">
        <v>309</v>
      </c>
      <c r="G124" s="18" t="s">
        <v>641</v>
      </c>
      <c r="H124" s="18"/>
    </row>
    <row r="125" spans="1:8" x14ac:dyDescent="0.3">
      <c r="B125" s="18" t="s">
        <v>658</v>
      </c>
      <c r="C125" s="18" t="s">
        <v>459</v>
      </c>
      <c r="D125" s="18" t="s">
        <v>515</v>
      </c>
      <c r="E125" s="18">
        <v>1</v>
      </c>
      <c r="F125" s="18" t="s">
        <v>108</v>
      </c>
      <c r="G125" s="18" t="s">
        <v>641</v>
      </c>
      <c r="H125" s="18"/>
    </row>
    <row r="126" spans="1:8" x14ac:dyDescent="0.3">
      <c r="B126" s="18" t="s">
        <v>658</v>
      </c>
      <c r="C126" s="18" t="s">
        <v>460</v>
      </c>
      <c r="D126" s="18" t="s">
        <v>516</v>
      </c>
      <c r="E126" s="18">
        <v>1</v>
      </c>
      <c r="F126" s="18" t="s">
        <v>108</v>
      </c>
      <c r="G126" s="18" t="s">
        <v>641</v>
      </c>
      <c r="H126" s="18"/>
    </row>
    <row r="127" spans="1:8" x14ac:dyDescent="0.3">
      <c r="B127" s="18" t="s">
        <v>658</v>
      </c>
      <c r="C127" s="18" t="s">
        <v>441</v>
      </c>
      <c r="D127" s="18" t="s">
        <v>500</v>
      </c>
      <c r="E127" s="18">
        <v>1</v>
      </c>
      <c r="F127" s="18" t="s">
        <v>108</v>
      </c>
      <c r="G127" s="18" t="s">
        <v>641</v>
      </c>
      <c r="H127" s="18" t="s">
        <v>628</v>
      </c>
    </row>
    <row r="128" spans="1:8" x14ac:dyDescent="0.3">
      <c r="A128" s="14" t="s">
        <v>648</v>
      </c>
      <c r="B128" s="18" t="s">
        <v>659</v>
      </c>
      <c r="C128" s="18" t="s">
        <v>422</v>
      </c>
      <c r="D128" s="24" t="s">
        <v>608</v>
      </c>
      <c r="E128" s="18">
        <v>1</v>
      </c>
      <c r="F128" s="18" t="s">
        <v>108</v>
      </c>
      <c r="G128" s="18" t="s">
        <v>642</v>
      </c>
      <c r="H128" s="18"/>
    </row>
    <row r="129" spans="1:8" x14ac:dyDescent="0.3">
      <c r="B129" s="18" t="s">
        <v>659</v>
      </c>
      <c r="C129" s="18" t="s">
        <v>115</v>
      </c>
      <c r="D129" s="18" t="s">
        <v>133</v>
      </c>
      <c r="E129" s="18">
        <v>5</v>
      </c>
      <c r="F129" s="18" t="s">
        <v>309</v>
      </c>
      <c r="G129" s="18" t="s">
        <v>642</v>
      </c>
      <c r="H129" s="18"/>
    </row>
    <row r="130" spans="1:8" x14ac:dyDescent="0.3">
      <c r="B130" s="18" t="s">
        <v>659</v>
      </c>
      <c r="C130" s="18" t="s">
        <v>424</v>
      </c>
      <c r="D130" s="18" t="s">
        <v>482</v>
      </c>
      <c r="E130" s="18">
        <v>5</v>
      </c>
      <c r="F130" s="18" t="s">
        <v>309</v>
      </c>
      <c r="G130" s="18" t="s">
        <v>642</v>
      </c>
      <c r="H130" s="18"/>
    </row>
    <row r="131" spans="1:8" x14ac:dyDescent="0.3">
      <c r="B131" s="18" t="s">
        <v>659</v>
      </c>
      <c r="C131" s="18" t="s">
        <v>590</v>
      </c>
      <c r="D131" s="18" t="s">
        <v>485</v>
      </c>
      <c r="E131" s="18">
        <v>10</v>
      </c>
      <c r="F131" s="18" t="s">
        <v>309</v>
      </c>
      <c r="G131" s="18" t="s">
        <v>642</v>
      </c>
      <c r="H131" s="18"/>
    </row>
    <row r="132" spans="1:8" x14ac:dyDescent="0.3">
      <c r="B132" s="18" t="s">
        <v>659</v>
      </c>
      <c r="C132" s="18" t="s">
        <v>660</v>
      </c>
      <c r="D132" s="18" t="s">
        <v>661</v>
      </c>
      <c r="E132" s="18">
        <v>35</v>
      </c>
      <c r="F132" s="18" t="s">
        <v>309</v>
      </c>
      <c r="G132" s="18" t="s">
        <v>642</v>
      </c>
      <c r="H132" s="18"/>
    </row>
    <row r="133" spans="1:8" x14ac:dyDescent="0.3">
      <c r="B133" s="18" t="s">
        <v>659</v>
      </c>
      <c r="C133" s="18" t="s">
        <v>438</v>
      </c>
      <c r="D133" s="18" t="s">
        <v>497</v>
      </c>
      <c r="E133" s="18">
        <v>2</v>
      </c>
      <c r="F133" s="18" t="s">
        <v>309</v>
      </c>
      <c r="G133" s="25" t="s">
        <v>642</v>
      </c>
      <c r="H133" s="18"/>
    </row>
    <row r="134" spans="1:8" x14ac:dyDescent="0.3">
      <c r="B134" s="18" t="s">
        <v>659</v>
      </c>
      <c r="C134" s="18" t="s">
        <v>317</v>
      </c>
      <c r="D134" s="18" t="s">
        <v>318</v>
      </c>
      <c r="E134" s="18">
        <v>6</v>
      </c>
      <c r="F134" s="18" t="s">
        <v>325</v>
      </c>
      <c r="G134" s="25" t="s">
        <v>642</v>
      </c>
      <c r="H134" s="18"/>
    </row>
    <row r="135" spans="1:8" x14ac:dyDescent="0.3">
      <c r="B135" s="18" t="s">
        <v>659</v>
      </c>
      <c r="C135" s="18" t="s">
        <v>425</v>
      </c>
      <c r="D135" s="18" t="s">
        <v>483</v>
      </c>
      <c r="E135" s="18">
        <v>35</v>
      </c>
      <c r="F135" s="18" t="s">
        <v>309</v>
      </c>
      <c r="G135" s="25" t="s">
        <v>642</v>
      </c>
      <c r="H135" s="18"/>
    </row>
    <row r="136" spans="1:8" x14ac:dyDescent="0.3">
      <c r="B136" s="18" t="s">
        <v>659</v>
      </c>
      <c r="C136" s="18" t="s">
        <v>441</v>
      </c>
      <c r="D136" s="18" t="s">
        <v>500</v>
      </c>
      <c r="E136" s="18">
        <v>1</v>
      </c>
      <c r="F136" s="18" t="s">
        <v>108</v>
      </c>
      <c r="G136" s="18" t="s">
        <v>642</v>
      </c>
      <c r="H136" s="18" t="s">
        <v>628</v>
      </c>
    </row>
    <row r="137" spans="1:8" x14ac:dyDescent="0.3">
      <c r="B137" s="18" t="s">
        <v>659</v>
      </c>
      <c r="C137" s="18" t="s">
        <v>439</v>
      </c>
      <c r="D137" s="18" t="s">
        <v>498</v>
      </c>
      <c r="E137" s="18">
        <v>0.23</v>
      </c>
      <c r="F137" s="18" t="s">
        <v>108</v>
      </c>
      <c r="G137" s="18" t="s">
        <v>642</v>
      </c>
      <c r="H137" s="18" t="s">
        <v>628</v>
      </c>
    </row>
    <row r="138" spans="1:8" x14ac:dyDescent="0.3">
      <c r="B138" s="18" t="s">
        <v>659</v>
      </c>
      <c r="C138" s="18" t="s">
        <v>450</v>
      </c>
      <c r="D138" s="18" t="s">
        <v>654</v>
      </c>
      <c r="E138" s="18">
        <v>1</v>
      </c>
      <c r="F138" s="18" t="s">
        <v>108</v>
      </c>
      <c r="G138" s="18" t="s">
        <v>642</v>
      </c>
      <c r="H138" s="18"/>
    </row>
    <row r="139" spans="1:8" x14ac:dyDescent="0.3">
      <c r="A139" s="14" t="s">
        <v>648</v>
      </c>
      <c r="B139" s="18" t="s">
        <v>665</v>
      </c>
      <c r="C139" s="18" t="s">
        <v>422</v>
      </c>
      <c r="D139" s="24" t="s">
        <v>608</v>
      </c>
      <c r="E139" s="18">
        <v>1</v>
      </c>
      <c r="F139" s="18" t="s">
        <v>108</v>
      </c>
      <c r="G139" s="18" t="s">
        <v>642</v>
      </c>
      <c r="H139" s="18"/>
    </row>
    <row r="140" spans="1:8" x14ac:dyDescent="0.3">
      <c r="B140" s="18" t="s">
        <v>665</v>
      </c>
      <c r="C140" s="18" t="s">
        <v>660</v>
      </c>
      <c r="D140" s="18" t="s">
        <v>661</v>
      </c>
      <c r="E140" s="18">
        <v>25</v>
      </c>
      <c r="F140" s="18" t="s">
        <v>309</v>
      </c>
      <c r="G140" s="18" t="s">
        <v>642</v>
      </c>
      <c r="H140" s="18"/>
    </row>
    <row r="141" spans="1:8" x14ac:dyDescent="0.3">
      <c r="B141" s="18" t="s">
        <v>665</v>
      </c>
      <c r="C141" s="18" t="s">
        <v>298</v>
      </c>
      <c r="D141" s="18" t="s">
        <v>477</v>
      </c>
      <c r="E141" s="18">
        <v>25</v>
      </c>
      <c r="F141" s="18" t="s">
        <v>309</v>
      </c>
      <c r="G141" s="18" t="s">
        <v>642</v>
      </c>
      <c r="H141" s="18"/>
    </row>
    <row r="142" spans="1:8" x14ac:dyDescent="0.3">
      <c r="B142" s="18" t="s">
        <v>665</v>
      </c>
      <c r="C142" s="18" t="s">
        <v>425</v>
      </c>
      <c r="D142" s="18" t="s">
        <v>483</v>
      </c>
      <c r="E142" s="18">
        <v>35</v>
      </c>
      <c r="F142" s="18" t="s">
        <v>309</v>
      </c>
      <c r="G142" s="18" t="s">
        <v>642</v>
      </c>
      <c r="H142" s="18"/>
    </row>
    <row r="143" spans="1:8" x14ac:dyDescent="0.3">
      <c r="B143" s="18" t="s">
        <v>665</v>
      </c>
      <c r="C143" s="18" t="s">
        <v>441</v>
      </c>
      <c r="D143" s="18" t="s">
        <v>500</v>
      </c>
      <c r="E143" s="18">
        <v>1</v>
      </c>
      <c r="F143" s="18" t="s">
        <v>108</v>
      </c>
      <c r="G143" s="18" t="s">
        <v>642</v>
      </c>
      <c r="H143" s="18" t="s">
        <v>628</v>
      </c>
    </row>
    <row r="144" spans="1:8" x14ac:dyDescent="0.3">
      <c r="B144" s="18" t="s">
        <v>665</v>
      </c>
      <c r="C144" s="18" t="s">
        <v>439</v>
      </c>
      <c r="D144" s="18" t="s">
        <v>498</v>
      </c>
      <c r="E144" s="18">
        <v>0.23</v>
      </c>
      <c r="F144" s="18" t="s">
        <v>108</v>
      </c>
      <c r="G144" s="18" t="s">
        <v>642</v>
      </c>
      <c r="H144" s="18" t="s">
        <v>628</v>
      </c>
    </row>
    <row r="145" spans="1:8" x14ac:dyDescent="0.3">
      <c r="B145" s="18" t="s">
        <v>665</v>
      </c>
      <c r="C145" s="18" t="s">
        <v>450</v>
      </c>
      <c r="D145" s="18" t="s">
        <v>654</v>
      </c>
      <c r="E145" s="18">
        <v>1</v>
      </c>
      <c r="F145" s="18" t="s">
        <v>108</v>
      </c>
      <c r="G145" s="18" t="s">
        <v>642</v>
      </c>
      <c r="H145" s="18"/>
    </row>
    <row r="146" spans="1:8" x14ac:dyDescent="0.3">
      <c r="A146" s="14" t="s">
        <v>648</v>
      </c>
      <c r="B146" s="18" t="s">
        <v>666</v>
      </c>
      <c r="C146" s="18" t="s">
        <v>420</v>
      </c>
      <c r="D146" s="24" t="s">
        <v>479</v>
      </c>
      <c r="E146" s="18">
        <v>1</v>
      </c>
      <c r="F146" s="18" t="s">
        <v>108</v>
      </c>
      <c r="G146" s="18" t="s">
        <v>642</v>
      </c>
      <c r="H146" s="18"/>
    </row>
    <row r="147" spans="1:8" x14ac:dyDescent="0.3">
      <c r="B147" s="18" t="s">
        <v>666</v>
      </c>
      <c r="C147" s="18" t="s">
        <v>115</v>
      </c>
      <c r="D147" s="18" t="s">
        <v>133</v>
      </c>
      <c r="E147" s="18">
        <v>5</v>
      </c>
      <c r="F147" s="18" t="s">
        <v>309</v>
      </c>
      <c r="G147" s="18" t="s">
        <v>642</v>
      </c>
      <c r="H147" s="18"/>
    </row>
    <row r="148" spans="1:8" x14ac:dyDescent="0.3">
      <c r="B148" s="18" t="s">
        <v>666</v>
      </c>
      <c r="C148" s="18" t="s">
        <v>424</v>
      </c>
      <c r="D148" s="18" t="s">
        <v>482</v>
      </c>
      <c r="E148" s="18">
        <v>5</v>
      </c>
      <c r="F148" s="18" t="s">
        <v>309</v>
      </c>
      <c r="G148" s="18" t="s">
        <v>642</v>
      </c>
      <c r="H148" s="18"/>
    </row>
    <row r="149" spans="1:8" x14ac:dyDescent="0.3">
      <c r="B149" s="18" t="s">
        <v>666</v>
      </c>
      <c r="C149" s="18" t="s">
        <v>590</v>
      </c>
      <c r="D149" s="18" t="s">
        <v>485</v>
      </c>
      <c r="E149" s="18">
        <v>10</v>
      </c>
      <c r="F149" s="18" t="s">
        <v>309</v>
      </c>
      <c r="G149" s="18" t="s">
        <v>642</v>
      </c>
      <c r="H149" s="18"/>
    </row>
    <row r="150" spans="1:8" x14ac:dyDescent="0.3">
      <c r="B150" s="18" t="s">
        <v>666</v>
      </c>
      <c r="C150" s="18" t="s">
        <v>660</v>
      </c>
      <c r="D150" s="18" t="s">
        <v>661</v>
      </c>
      <c r="E150" s="18">
        <v>30</v>
      </c>
      <c r="F150" s="18" t="s">
        <v>309</v>
      </c>
      <c r="G150" s="18" t="s">
        <v>642</v>
      </c>
      <c r="H150" s="18"/>
    </row>
    <row r="151" spans="1:8" x14ac:dyDescent="0.3">
      <c r="B151" s="18" t="s">
        <v>666</v>
      </c>
      <c r="C151" s="18" t="s">
        <v>438</v>
      </c>
      <c r="D151" s="18" t="s">
        <v>497</v>
      </c>
      <c r="E151" s="18">
        <v>2</v>
      </c>
      <c r="F151" s="18" t="s">
        <v>309</v>
      </c>
      <c r="G151" s="25" t="s">
        <v>642</v>
      </c>
      <c r="H151" s="18"/>
    </row>
    <row r="152" spans="1:8" x14ac:dyDescent="0.3">
      <c r="B152" s="18" t="s">
        <v>666</v>
      </c>
      <c r="C152" s="18" t="s">
        <v>425</v>
      </c>
      <c r="D152" s="18" t="s">
        <v>483</v>
      </c>
      <c r="E152" s="18">
        <v>35</v>
      </c>
      <c r="F152" s="18" t="s">
        <v>309</v>
      </c>
      <c r="G152" s="25" t="s">
        <v>642</v>
      </c>
      <c r="H152" s="18"/>
    </row>
    <row r="153" spans="1:8" x14ac:dyDescent="0.3">
      <c r="B153" s="18" t="s">
        <v>666</v>
      </c>
      <c r="C153" s="18" t="s">
        <v>441</v>
      </c>
      <c r="D153" s="18" t="s">
        <v>500</v>
      </c>
      <c r="E153" s="18">
        <v>1</v>
      </c>
      <c r="F153" s="18" t="s">
        <v>108</v>
      </c>
      <c r="G153" s="18" t="s">
        <v>642</v>
      </c>
      <c r="H153" s="18" t="s">
        <v>628</v>
      </c>
    </row>
    <row r="154" spans="1:8" x14ac:dyDescent="0.3">
      <c r="B154" s="18" t="s">
        <v>666</v>
      </c>
      <c r="C154" s="18" t="s">
        <v>439</v>
      </c>
      <c r="D154" s="18" t="s">
        <v>498</v>
      </c>
      <c r="E154" s="18">
        <v>0.23</v>
      </c>
      <c r="F154" s="18" t="s">
        <v>108</v>
      </c>
      <c r="G154" s="18" t="s">
        <v>642</v>
      </c>
      <c r="H154" s="18" t="s">
        <v>628</v>
      </c>
    </row>
    <row r="155" spans="1:8" x14ac:dyDescent="0.3">
      <c r="B155" s="18" t="s">
        <v>666</v>
      </c>
      <c r="C155" s="18" t="s">
        <v>450</v>
      </c>
      <c r="D155" s="18" t="s">
        <v>654</v>
      </c>
      <c r="E155" s="18">
        <v>1</v>
      </c>
      <c r="F155" s="18" t="s">
        <v>108</v>
      </c>
      <c r="G155" s="18" t="s">
        <v>642</v>
      </c>
      <c r="H155" s="18"/>
    </row>
    <row r="156" spans="1:8" x14ac:dyDescent="0.3">
      <c r="A156" s="26" t="s">
        <v>648</v>
      </c>
      <c r="B156" s="24" t="s">
        <v>667</v>
      </c>
      <c r="C156" s="24" t="s">
        <v>421</v>
      </c>
      <c r="D156" s="24" t="s">
        <v>480</v>
      </c>
      <c r="E156" s="18">
        <v>1</v>
      </c>
      <c r="F156" s="18" t="s">
        <v>108</v>
      </c>
      <c r="G156" s="18" t="s">
        <v>642</v>
      </c>
      <c r="H156" s="18"/>
    </row>
    <row r="157" spans="1:8" x14ac:dyDescent="0.3">
      <c r="A157" s="26"/>
      <c r="B157" s="24" t="s">
        <v>667</v>
      </c>
      <c r="C157" s="24" t="s">
        <v>115</v>
      </c>
      <c r="D157" s="24" t="s">
        <v>133</v>
      </c>
      <c r="E157" s="18">
        <v>10</v>
      </c>
      <c r="F157" s="18" t="s">
        <v>309</v>
      </c>
      <c r="G157" s="18" t="s">
        <v>642</v>
      </c>
      <c r="H157" s="18"/>
    </row>
    <row r="158" spans="1:8" x14ac:dyDescent="0.3">
      <c r="A158" s="26"/>
      <c r="B158" s="24" t="s">
        <v>667</v>
      </c>
      <c r="C158" s="24" t="s">
        <v>424</v>
      </c>
      <c r="D158" s="24" t="s">
        <v>482</v>
      </c>
      <c r="E158" s="18">
        <v>10</v>
      </c>
      <c r="F158" s="18" t="s">
        <v>309</v>
      </c>
      <c r="G158" s="18" t="s">
        <v>642</v>
      </c>
      <c r="H158" s="18"/>
    </row>
    <row r="159" spans="1:8" x14ac:dyDescent="0.3">
      <c r="A159" s="26"/>
      <c r="B159" s="24" t="s">
        <v>667</v>
      </c>
      <c r="C159" s="24" t="s">
        <v>590</v>
      </c>
      <c r="D159" s="24" t="s">
        <v>485</v>
      </c>
      <c r="E159" s="18">
        <v>15</v>
      </c>
      <c r="F159" s="18" t="s">
        <v>309</v>
      </c>
      <c r="G159" s="18" t="s">
        <v>642</v>
      </c>
      <c r="H159" s="18"/>
    </row>
    <row r="160" spans="1:8" x14ac:dyDescent="0.3">
      <c r="A160" s="26"/>
      <c r="B160" s="24" t="s">
        <v>667</v>
      </c>
      <c r="C160" s="24" t="s">
        <v>660</v>
      </c>
      <c r="D160" s="24" t="s">
        <v>661</v>
      </c>
      <c r="E160" s="18">
        <v>80</v>
      </c>
      <c r="F160" s="18" t="s">
        <v>309</v>
      </c>
      <c r="G160" s="18" t="s">
        <v>642</v>
      </c>
      <c r="H160" s="18"/>
    </row>
    <row r="161" spans="1:8" x14ac:dyDescent="0.3">
      <c r="A161" s="26"/>
      <c r="B161" s="24" t="s">
        <v>667</v>
      </c>
      <c r="C161" s="24" t="s">
        <v>438</v>
      </c>
      <c r="D161" s="24" t="s">
        <v>497</v>
      </c>
      <c r="E161" s="18">
        <v>2</v>
      </c>
      <c r="F161" s="18" t="s">
        <v>309</v>
      </c>
      <c r="G161" s="25" t="s">
        <v>642</v>
      </c>
      <c r="H161" s="18"/>
    </row>
    <row r="162" spans="1:8" x14ac:dyDescent="0.3">
      <c r="A162" s="26"/>
      <c r="B162" s="24" t="s">
        <v>667</v>
      </c>
      <c r="C162" s="24" t="s">
        <v>425</v>
      </c>
      <c r="D162" s="24" t="s">
        <v>483</v>
      </c>
      <c r="E162" s="18">
        <v>35</v>
      </c>
      <c r="F162" s="18" t="s">
        <v>309</v>
      </c>
      <c r="G162" s="25" t="s">
        <v>642</v>
      </c>
      <c r="H162" s="18"/>
    </row>
    <row r="163" spans="1:8" x14ac:dyDescent="0.3">
      <c r="A163" s="26"/>
      <c r="B163" s="24" t="s">
        <v>667</v>
      </c>
      <c r="C163" s="24" t="s">
        <v>441</v>
      </c>
      <c r="D163" s="24" t="s">
        <v>500</v>
      </c>
      <c r="E163" s="18">
        <v>1</v>
      </c>
      <c r="F163" s="18" t="s">
        <v>108</v>
      </c>
      <c r="G163" s="18" t="s">
        <v>642</v>
      </c>
      <c r="H163" s="18" t="s">
        <v>628</v>
      </c>
    </row>
    <row r="164" spans="1:8" x14ac:dyDescent="0.3">
      <c r="A164" s="26"/>
      <c r="B164" s="24" t="s">
        <v>667</v>
      </c>
      <c r="C164" s="24" t="s">
        <v>439</v>
      </c>
      <c r="D164" s="24" t="s">
        <v>498</v>
      </c>
      <c r="E164" s="18">
        <v>0.23</v>
      </c>
      <c r="F164" s="18" t="s">
        <v>108</v>
      </c>
      <c r="G164" s="18" t="s">
        <v>642</v>
      </c>
      <c r="H164" s="18" t="s">
        <v>628</v>
      </c>
    </row>
    <row r="165" spans="1:8" x14ac:dyDescent="0.3">
      <c r="A165" s="26"/>
      <c r="B165" s="24" t="s">
        <v>667</v>
      </c>
      <c r="C165" s="24" t="s">
        <v>450</v>
      </c>
      <c r="D165" s="24" t="s">
        <v>654</v>
      </c>
      <c r="E165" s="18">
        <v>1</v>
      </c>
      <c r="F165" s="18" t="s">
        <v>108</v>
      </c>
      <c r="G165" s="18" t="s">
        <v>642</v>
      </c>
      <c r="H165" s="18"/>
    </row>
    <row r="166" spans="1:8" x14ac:dyDescent="0.3">
      <c r="A166" s="26" t="s">
        <v>648</v>
      </c>
      <c r="B166" s="24" t="s">
        <v>668</v>
      </c>
      <c r="C166" s="24" t="s">
        <v>421</v>
      </c>
      <c r="D166" s="24" t="s">
        <v>608</v>
      </c>
      <c r="E166" s="18">
        <v>5</v>
      </c>
      <c r="F166" s="18" t="s">
        <v>108</v>
      </c>
      <c r="G166" s="18" t="s">
        <v>642</v>
      </c>
      <c r="H166" s="18"/>
    </row>
    <row r="167" spans="1:8" x14ac:dyDescent="0.3">
      <c r="A167" s="26"/>
      <c r="B167" s="24" t="s">
        <v>668</v>
      </c>
      <c r="C167" s="24" t="s">
        <v>115</v>
      </c>
      <c r="D167" s="24" t="s">
        <v>133</v>
      </c>
      <c r="E167" s="18">
        <v>15</v>
      </c>
      <c r="F167" s="18" t="s">
        <v>309</v>
      </c>
      <c r="G167" s="18" t="s">
        <v>642</v>
      </c>
      <c r="H167" s="18"/>
    </row>
    <row r="168" spans="1:8" x14ac:dyDescent="0.3">
      <c r="A168" s="26"/>
      <c r="B168" s="24" t="s">
        <v>668</v>
      </c>
      <c r="C168" s="24" t="s">
        <v>424</v>
      </c>
      <c r="D168" s="24" t="s">
        <v>669</v>
      </c>
      <c r="E168" s="18">
        <v>15</v>
      </c>
      <c r="F168" s="18" t="s">
        <v>309</v>
      </c>
      <c r="G168" s="18" t="s">
        <v>642</v>
      </c>
      <c r="H168" s="18"/>
    </row>
    <row r="169" spans="1:8" x14ac:dyDescent="0.3">
      <c r="A169" s="26"/>
      <c r="B169" s="24" t="s">
        <v>668</v>
      </c>
      <c r="C169" s="24" t="s">
        <v>660</v>
      </c>
      <c r="D169" s="24" t="s">
        <v>661</v>
      </c>
      <c r="E169" s="18">
        <v>150</v>
      </c>
      <c r="F169" s="18" t="s">
        <v>309</v>
      </c>
      <c r="G169" s="18" t="s">
        <v>642</v>
      </c>
      <c r="H169" s="18"/>
    </row>
    <row r="170" spans="1:8" x14ac:dyDescent="0.3">
      <c r="A170" s="26"/>
      <c r="B170" s="24" t="s">
        <v>668</v>
      </c>
      <c r="C170" s="24" t="s">
        <v>438</v>
      </c>
      <c r="D170" s="24" t="s">
        <v>497</v>
      </c>
      <c r="E170" s="18">
        <v>2</v>
      </c>
      <c r="F170" s="18" t="s">
        <v>309</v>
      </c>
      <c r="G170" s="18" t="s">
        <v>642</v>
      </c>
      <c r="H170" s="18"/>
    </row>
    <row r="171" spans="1:8" x14ac:dyDescent="0.3">
      <c r="A171" s="26"/>
      <c r="B171" s="24" t="s">
        <v>668</v>
      </c>
      <c r="C171" s="24" t="s">
        <v>425</v>
      </c>
      <c r="D171" s="24" t="s">
        <v>483</v>
      </c>
      <c r="E171" s="18">
        <v>35</v>
      </c>
      <c r="F171" s="18" t="s">
        <v>309</v>
      </c>
      <c r="G171" s="18" t="s">
        <v>642</v>
      </c>
      <c r="H171" s="18"/>
    </row>
    <row r="172" spans="1:8" x14ac:dyDescent="0.3">
      <c r="A172" s="26"/>
      <c r="B172" s="24" t="s">
        <v>668</v>
      </c>
      <c r="C172" s="24" t="s">
        <v>441</v>
      </c>
      <c r="D172" s="24" t="s">
        <v>500</v>
      </c>
      <c r="E172" s="18">
        <v>1</v>
      </c>
      <c r="F172" s="18" t="s">
        <v>108</v>
      </c>
      <c r="G172" s="18" t="s">
        <v>642</v>
      </c>
      <c r="H172" s="18" t="s">
        <v>628</v>
      </c>
    </row>
    <row r="173" spans="1:8" x14ac:dyDescent="0.3">
      <c r="A173" s="26"/>
      <c r="B173" s="24" t="s">
        <v>668</v>
      </c>
      <c r="C173" s="24" t="s">
        <v>439</v>
      </c>
      <c r="D173" s="24" t="s">
        <v>498</v>
      </c>
      <c r="E173" s="18">
        <v>0.3</v>
      </c>
      <c r="F173" s="18" t="s">
        <v>108</v>
      </c>
      <c r="G173" s="18" t="s">
        <v>642</v>
      </c>
      <c r="H173" s="18" t="s">
        <v>628</v>
      </c>
    </row>
    <row r="174" spans="1:8" x14ac:dyDescent="0.3">
      <c r="A174" s="26"/>
      <c r="B174" s="24" t="s">
        <v>668</v>
      </c>
      <c r="C174" s="24" t="s">
        <v>450</v>
      </c>
      <c r="D174" s="24" t="s">
        <v>651</v>
      </c>
      <c r="E174" s="18">
        <v>1</v>
      </c>
      <c r="F174" s="18" t="s">
        <v>108</v>
      </c>
      <c r="G174" s="18" t="s">
        <v>642</v>
      </c>
      <c r="H174" s="18"/>
    </row>
    <row r="175" spans="1:8" x14ac:dyDescent="0.3">
      <c r="A175" s="14" t="s">
        <v>648</v>
      </c>
      <c r="B175" s="18" t="s">
        <v>670</v>
      </c>
      <c r="C175" s="18" t="s">
        <v>422</v>
      </c>
      <c r="D175" s="24" t="s">
        <v>608</v>
      </c>
      <c r="E175" s="18">
        <v>3</v>
      </c>
      <c r="F175" s="18" t="s">
        <v>108</v>
      </c>
      <c r="G175" s="18" t="s">
        <v>642</v>
      </c>
      <c r="H175" s="18"/>
    </row>
    <row r="176" spans="1:8" x14ac:dyDescent="0.3">
      <c r="B176" s="18" t="s">
        <v>670</v>
      </c>
      <c r="C176" s="18" t="s">
        <v>420</v>
      </c>
      <c r="D176" s="24" t="s">
        <v>479</v>
      </c>
      <c r="E176" s="18">
        <v>1</v>
      </c>
      <c r="F176" s="18" t="s">
        <v>108</v>
      </c>
      <c r="G176" s="18" t="s">
        <v>642</v>
      </c>
      <c r="H176" s="18"/>
    </row>
    <row r="177" spans="1:8" x14ac:dyDescent="0.3">
      <c r="B177" s="18" t="s">
        <v>670</v>
      </c>
      <c r="C177" s="18" t="s">
        <v>115</v>
      </c>
      <c r="D177" s="18" t="s">
        <v>133</v>
      </c>
      <c r="E177" s="18">
        <v>15</v>
      </c>
      <c r="F177" s="18" t="s">
        <v>309</v>
      </c>
      <c r="G177" s="18" t="s">
        <v>642</v>
      </c>
      <c r="H177" s="18"/>
    </row>
    <row r="178" spans="1:8" x14ac:dyDescent="0.3">
      <c r="B178" s="18" t="s">
        <v>670</v>
      </c>
      <c r="C178" s="18" t="s">
        <v>424</v>
      </c>
      <c r="D178" s="18" t="s">
        <v>482</v>
      </c>
      <c r="E178" s="18">
        <v>15</v>
      </c>
      <c r="F178" s="18" t="s">
        <v>309</v>
      </c>
      <c r="G178" s="18" t="s">
        <v>642</v>
      </c>
      <c r="H178" s="18"/>
    </row>
    <row r="179" spans="1:8" x14ac:dyDescent="0.3">
      <c r="B179" s="18" t="s">
        <v>670</v>
      </c>
      <c r="C179" s="18" t="s">
        <v>590</v>
      </c>
      <c r="D179" s="18" t="s">
        <v>485</v>
      </c>
      <c r="E179" s="18">
        <v>15</v>
      </c>
      <c r="F179" s="18" t="s">
        <v>309</v>
      </c>
      <c r="G179" s="18" t="s">
        <v>642</v>
      </c>
      <c r="H179" s="18"/>
    </row>
    <row r="180" spans="1:8" x14ac:dyDescent="0.3">
      <c r="B180" s="18" t="s">
        <v>670</v>
      </c>
      <c r="C180" s="18" t="s">
        <v>660</v>
      </c>
      <c r="D180" s="18" t="s">
        <v>661</v>
      </c>
      <c r="E180" s="18">
        <v>125</v>
      </c>
      <c r="F180" s="18" t="s">
        <v>309</v>
      </c>
      <c r="G180" s="18" t="s">
        <v>642</v>
      </c>
      <c r="H180" s="18"/>
    </row>
    <row r="181" spans="1:8" x14ac:dyDescent="0.3">
      <c r="B181" s="18" t="s">
        <v>670</v>
      </c>
      <c r="C181" s="18" t="s">
        <v>438</v>
      </c>
      <c r="D181" s="18" t="s">
        <v>497</v>
      </c>
      <c r="E181" s="18">
        <v>2</v>
      </c>
      <c r="F181" s="18" t="s">
        <v>309</v>
      </c>
      <c r="G181" s="18" t="s">
        <v>642</v>
      </c>
      <c r="H181" s="18"/>
    </row>
    <row r="182" spans="1:8" x14ac:dyDescent="0.3">
      <c r="B182" s="18" t="s">
        <v>670</v>
      </c>
      <c r="C182" s="18" t="s">
        <v>317</v>
      </c>
      <c r="D182" s="18" t="s">
        <v>318</v>
      </c>
      <c r="E182" s="18">
        <v>12</v>
      </c>
      <c r="F182" s="18" t="s">
        <v>325</v>
      </c>
      <c r="G182" s="18" t="s">
        <v>642</v>
      </c>
      <c r="H182" s="18"/>
    </row>
    <row r="183" spans="1:8" x14ac:dyDescent="0.3">
      <c r="B183" s="18" t="s">
        <v>670</v>
      </c>
      <c r="C183" s="18" t="s">
        <v>425</v>
      </c>
      <c r="D183" s="18" t="s">
        <v>483</v>
      </c>
      <c r="E183" s="18">
        <v>35</v>
      </c>
      <c r="F183" s="18" t="s">
        <v>309</v>
      </c>
      <c r="G183" s="18" t="s">
        <v>642</v>
      </c>
      <c r="H183" s="18"/>
    </row>
    <row r="184" spans="1:8" x14ac:dyDescent="0.3">
      <c r="B184" s="18" t="s">
        <v>670</v>
      </c>
      <c r="C184" s="18" t="s">
        <v>441</v>
      </c>
      <c r="D184" s="18" t="s">
        <v>500</v>
      </c>
      <c r="E184" s="18">
        <v>1</v>
      </c>
      <c r="F184" s="18" t="s">
        <v>108</v>
      </c>
      <c r="G184" s="18" t="s">
        <v>642</v>
      </c>
      <c r="H184" s="18" t="s">
        <v>628</v>
      </c>
    </row>
    <row r="185" spans="1:8" x14ac:dyDescent="0.3">
      <c r="B185" s="18" t="s">
        <v>670</v>
      </c>
      <c r="C185" s="18" t="s">
        <v>439</v>
      </c>
      <c r="D185" s="18" t="s">
        <v>498</v>
      </c>
      <c r="E185" s="18">
        <v>0.3</v>
      </c>
      <c r="F185" s="18" t="s">
        <v>108</v>
      </c>
      <c r="G185" s="18" t="s">
        <v>642</v>
      </c>
      <c r="H185" s="18" t="s">
        <v>628</v>
      </c>
    </row>
    <row r="186" spans="1:8" x14ac:dyDescent="0.3">
      <c r="B186" s="18" t="s">
        <v>670</v>
      </c>
      <c r="C186" s="18" t="s">
        <v>450</v>
      </c>
      <c r="D186" s="18" t="s">
        <v>654</v>
      </c>
      <c r="E186" s="18">
        <v>1</v>
      </c>
      <c r="F186" s="18" t="s">
        <v>108</v>
      </c>
      <c r="G186" s="18" t="s">
        <v>642</v>
      </c>
      <c r="H186" s="18"/>
    </row>
    <row r="187" spans="1:8" x14ac:dyDescent="0.3">
      <c r="A187" s="14" t="s">
        <v>648</v>
      </c>
      <c r="B187" s="18" t="s">
        <v>678</v>
      </c>
      <c r="C187" s="18" t="s">
        <v>383</v>
      </c>
      <c r="D187" s="18" t="s">
        <v>384</v>
      </c>
      <c r="E187" s="18">
        <v>200</v>
      </c>
      <c r="F187" s="18" t="s">
        <v>325</v>
      </c>
      <c r="G187" s="18" t="s">
        <v>645</v>
      </c>
      <c r="H187" s="18"/>
    </row>
    <row r="188" spans="1:8" x14ac:dyDescent="0.3">
      <c r="B188" s="18" t="s">
        <v>678</v>
      </c>
      <c r="C188" s="18" t="s">
        <v>671</v>
      </c>
      <c r="D188" s="18" t="s">
        <v>672</v>
      </c>
      <c r="E188" s="18">
        <v>200</v>
      </c>
      <c r="F188" s="18" t="s">
        <v>309</v>
      </c>
      <c r="G188" s="18" t="s">
        <v>645</v>
      </c>
      <c r="H188" s="18"/>
    </row>
    <row r="189" spans="1:8" x14ac:dyDescent="0.3">
      <c r="B189" s="18" t="s">
        <v>678</v>
      </c>
      <c r="C189" s="18" t="s">
        <v>673</v>
      </c>
      <c r="D189" s="18" t="s">
        <v>674</v>
      </c>
      <c r="E189" s="18">
        <v>20</v>
      </c>
      <c r="F189" s="18" t="s">
        <v>309</v>
      </c>
      <c r="G189" s="18" t="s">
        <v>645</v>
      </c>
      <c r="H189" s="18"/>
    </row>
    <row r="190" spans="1:8" x14ac:dyDescent="0.3">
      <c r="B190" s="18" t="s">
        <v>678</v>
      </c>
      <c r="C190" s="18" t="s">
        <v>586</v>
      </c>
      <c r="D190" s="18" t="s">
        <v>644</v>
      </c>
      <c r="E190" s="18">
        <v>65</v>
      </c>
      <c r="F190" s="18" t="s">
        <v>309</v>
      </c>
      <c r="G190" s="18" t="s">
        <v>645</v>
      </c>
      <c r="H190" s="18"/>
    </row>
    <row r="191" spans="1:8" x14ac:dyDescent="0.3">
      <c r="B191" s="18" t="s">
        <v>678</v>
      </c>
      <c r="C191" s="18" t="s">
        <v>544</v>
      </c>
      <c r="D191" s="18" t="s">
        <v>546</v>
      </c>
      <c r="E191" s="18">
        <v>1</v>
      </c>
      <c r="F191" s="18" t="s">
        <v>108</v>
      </c>
      <c r="G191" s="18" t="s">
        <v>645</v>
      </c>
      <c r="H191" s="18"/>
    </row>
    <row r="192" spans="1:8" x14ac:dyDescent="0.3">
      <c r="B192" s="18" t="s">
        <v>678</v>
      </c>
      <c r="C192" s="18" t="s">
        <v>591</v>
      </c>
      <c r="D192" s="18" t="s">
        <v>679</v>
      </c>
      <c r="E192" s="18">
        <v>1</v>
      </c>
      <c r="F192" s="18" t="s">
        <v>108</v>
      </c>
      <c r="G192" s="18" t="s">
        <v>645</v>
      </c>
      <c r="H192" s="18" t="s">
        <v>628</v>
      </c>
    </row>
    <row r="193" spans="1:8" x14ac:dyDescent="0.3">
      <c r="B193" s="18" t="s">
        <v>678</v>
      </c>
      <c r="C193" s="18" t="s">
        <v>441</v>
      </c>
      <c r="D193" s="18" t="s">
        <v>500</v>
      </c>
      <c r="E193" s="18">
        <v>1</v>
      </c>
      <c r="F193" s="18" t="s">
        <v>108</v>
      </c>
      <c r="G193" s="18" t="s">
        <v>645</v>
      </c>
      <c r="H193" s="18" t="s">
        <v>628</v>
      </c>
    </row>
    <row r="194" spans="1:8" x14ac:dyDescent="0.3">
      <c r="A194" s="14" t="s">
        <v>648</v>
      </c>
      <c r="B194" s="18" t="s">
        <v>677</v>
      </c>
      <c r="C194" s="18" t="s">
        <v>383</v>
      </c>
      <c r="D194" s="18" t="s">
        <v>384</v>
      </c>
      <c r="E194" s="18">
        <v>200</v>
      </c>
      <c r="F194" s="18" t="s">
        <v>325</v>
      </c>
      <c r="G194" s="18" t="s">
        <v>645</v>
      </c>
      <c r="H194" s="18"/>
    </row>
    <row r="195" spans="1:8" x14ac:dyDescent="0.3">
      <c r="B195" s="18" t="s">
        <v>677</v>
      </c>
      <c r="C195" s="18" t="s">
        <v>671</v>
      </c>
      <c r="D195" s="18" t="s">
        <v>672</v>
      </c>
      <c r="E195" s="18">
        <v>200</v>
      </c>
      <c r="F195" s="18" t="s">
        <v>309</v>
      </c>
      <c r="G195" s="18" t="s">
        <v>645</v>
      </c>
      <c r="H195" s="18"/>
    </row>
    <row r="196" spans="1:8" x14ac:dyDescent="0.3">
      <c r="B196" s="18" t="s">
        <v>677</v>
      </c>
      <c r="C196" s="18" t="s">
        <v>673</v>
      </c>
      <c r="D196" s="18" t="s">
        <v>674</v>
      </c>
      <c r="E196" s="18">
        <v>20</v>
      </c>
      <c r="F196" s="18" t="s">
        <v>309</v>
      </c>
      <c r="G196" s="18" t="s">
        <v>645</v>
      </c>
      <c r="H196" s="18"/>
    </row>
    <row r="197" spans="1:8" x14ac:dyDescent="0.3">
      <c r="B197" s="18" t="s">
        <v>677</v>
      </c>
      <c r="C197" s="18" t="s">
        <v>34</v>
      </c>
      <c r="D197" s="18" t="s">
        <v>128</v>
      </c>
      <c r="E197" s="18">
        <v>60</v>
      </c>
      <c r="F197" s="18" t="s">
        <v>309</v>
      </c>
      <c r="G197" s="18" t="s">
        <v>645</v>
      </c>
      <c r="H197" s="18"/>
    </row>
    <row r="198" spans="1:8" x14ac:dyDescent="0.3">
      <c r="B198" s="18" t="s">
        <v>677</v>
      </c>
      <c r="C198" s="18" t="s">
        <v>586</v>
      </c>
      <c r="D198" s="18" t="s">
        <v>644</v>
      </c>
      <c r="E198" s="18">
        <v>50</v>
      </c>
      <c r="F198" s="18" t="s">
        <v>309</v>
      </c>
      <c r="G198" s="18" t="s">
        <v>645</v>
      </c>
      <c r="H198" s="18"/>
    </row>
    <row r="199" spans="1:8" x14ac:dyDescent="0.3">
      <c r="B199" s="18" t="s">
        <v>677</v>
      </c>
      <c r="C199" s="18" t="s">
        <v>544</v>
      </c>
      <c r="D199" s="18" t="s">
        <v>546</v>
      </c>
      <c r="E199" s="18">
        <v>1</v>
      </c>
      <c r="F199" s="18" t="s">
        <v>108</v>
      </c>
      <c r="G199" s="18" t="s">
        <v>645</v>
      </c>
      <c r="H199" s="18"/>
    </row>
    <row r="200" spans="1:8" x14ac:dyDescent="0.3">
      <c r="B200" s="18" t="s">
        <v>677</v>
      </c>
      <c r="C200" s="18" t="s">
        <v>591</v>
      </c>
      <c r="D200" s="18" t="s">
        <v>679</v>
      </c>
      <c r="E200" s="18">
        <v>1</v>
      </c>
      <c r="F200" s="18" t="s">
        <v>108</v>
      </c>
      <c r="G200" s="18" t="s">
        <v>645</v>
      </c>
      <c r="H200" s="18" t="s">
        <v>628</v>
      </c>
    </row>
    <row r="201" spans="1:8" x14ac:dyDescent="0.3">
      <c r="B201" s="18" t="s">
        <v>677</v>
      </c>
      <c r="C201" s="18" t="s">
        <v>441</v>
      </c>
      <c r="D201" s="18" t="s">
        <v>500</v>
      </c>
      <c r="E201" s="18">
        <v>1</v>
      </c>
      <c r="F201" s="18" t="s">
        <v>108</v>
      </c>
      <c r="G201" s="18" t="s">
        <v>645</v>
      </c>
      <c r="H201" s="18" t="s">
        <v>628</v>
      </c>
    </row>
    <row r="202" spans="1:8" x14ac:dyDescent="0.3">
      <c r="A202" s="14" t="s">
        <v>648</v>
      </c>
      <c r="B202" s="18" t="s">
        <v>680</v>
      </c>
      <c r="C202" s="18" t="s">
        <v>383</v>
      </c>
      <c r="D202" s="18" t="s">
        <v>384</v>
      </c>
      <c r="E202" s="18">
        <v>200</v>
      </c>
      <c r="F202" s="18" t="s">
        <v>325</v>
      </c>
      <c r="G202" s="18" t="s">
        <v>645</v>
      </c>
      <c r="H202" s="18"/>
    </row>
    <row r="203" spans="1:8" ht="16.2" customHeight="1" x14ac:dyDescent="0.3">
      <c r="B203" s="18" t="s">
        <v>680</v>
      </c>
      <c r="C203" s="18" t="s">
        <v>671</v>
      </c>
      <c r="D203" s="18" t="s">
        <v>672</v>
      </c>
      <c r="E203" s="18">
        <v>200</v>
      </c>
      <c r="F203" s="18" t="s">
        <v>309</v>
      </c>
      <c r="G203" s="18" t="s">
        <v>645</v>
      </c>
      <c r="H203" s="18"/>
    </row>
    <row r="204" spans="1:8" x14ac:dyDescent="0.3">
      <c r="B204" s="18" t="s">
        <v>680</v>
      </c>
      <c r="C204" s="18" t="s">
        <v>673</v>
      </c>
      <c r="D204" s="18" t="s">
        <v>674</v>
      </c>
      <c r="E204" s="18">
        <v>20</v>
      </c>
      <c r="F204" s="18" t="s">
        <v>309</v>
      </c>
      <c r="G204" s="18" t="s">
        <v>645</v>
      </c>
      <c r="H204" s="18"/>
    </row>
    <row r="205" spans="1:8" x14ac:dyDescent="0.3">
      <c r="B205" s="18" t="s">
        <v>680</v>
      </c>
      <c r="C205" s="18" t="s">
        <v>34</v>
      </c>
      <c r="D205" s="18" t="s">
        <v>128</v>
      </c>
      <c r="E205" s="18">
        <v>30</v>
      </c>
      <c r="F205" s="18" t="s">
        <v>309</v>
      </c>
      <c r="G205" s="18" t="s">
        <v>645</v>
      </c>
      <c r="H205" s="18"/>
    </row>
    <row r="206" spans="1:8" x14ac:dyDescent="0.3">
      <c r="B206" s="18" t="s">
        <v>680</v>
      </c>
      <c r="C206" s="18" t="str">
        <f>'PRODUCTOS GENERALES PEYBU '!A81</f>
        <v>PEY80</v>
      </c>
      <c r="D206" s="18" t="s">
        <v>644</v>
      </c>
      <c r="E206" s="18">
        <v>50</v>
      </c>
      <c r="F206" s="18" t="s">
        <v>309</v>
      </c>
      <c r="G206" s="18" t="s">
        <v>645</v>
      </c>
      <c r="H206" s="18"/>
    </row>
    <row r="207" spans="1:8" x14ac:dyDescent="0.3">
      <c r="B207" s="18" t="s">
        <v>680</v>
      </c>
      <c r="C207" s="18" t="s">
        <v>681</v>
      </c>
      <c r="D207" s="18" t="s">
        <v>365</v>
      </c>
      <c r="E207" s="18">
        <v>300</v>
      </c>
      <c r="F207" s="18" t="s">
        <v>309</v>
      </c>
      <c r="G207" s="18" t="s">
        <v>645</v>
      </c>
      <c r="H207" s="18"/>
    </row>
    <row r="208" spans="1:8" x14ac:dyDescent="0.3">
      <c r="B208" s="18" t="s">
        <v>680</v>
      </c>
      <c r="C208" s="18" t="s">
        <v>544</v>
      </c>
      <c r="D208" s="18" t="s">
        <v>546</v>
      </c>
      <c r="E208" s="18">
        <v>1</v>
      </c>
      <c r="F208" s="18" t="s">
        <v>108</v>
      </c>
      <c r="G208" s="18" t="s">
        <v>645</v>
      </c>
      <c r="H208" s="18"/>
    </row>
    <row r="209" spans="1:8" ht="15.6" customHeight="1" x14ac:dyDescent="0.3">
      <c r="B209" s="18" t="s">
        <v>680</v>
      </c>
      <c r="C209" s="18" t="s">
        <v>591</v>
      </c>
      <c r="D209" s="18" t="s">
        <v>679</v>
      </c>
      <c r="E209" s="18">
        <v>1</v>
      </c>
      <c r="F209" s="18" t="s">
        <v>108</v>
      </c>
      <c r="G209" s="18" t="s">
        <v>645</v>
      </c>
      <c r="H209" s="18" t="s">
        <v>628</v>
      </c>
    </row>
    <row r="210" spans="1:8" x14ac:dyDescent="0.3">
      <c r="A210" s="14" t="s">
        <v>648</v>
      </c>
      <c r="B210" s="18" t="s">
        <v>680</v>
      </c>
      <c r="C210" s="18" t="s">
        <v>441</v>
      </c>
      <c r="D210" s="18" t="s">
        <v>500</v>
      </c>
      <c r="E210" s="18">
        <v>1</v>
      </c>
      <c r="F210" s="18" t="s">
        <v>108</v>
      </c>
      <c r="G210" s="18" t="s">
        <v>645</v>
      </c>
      <c r="H210" s="18" t="s">
        <v>628</v>
      </c>
    </row>
    <row r="211" spans="1:8" x14ac:dyDescent="0.3">
      <c r="B211" s="18" t="s">
        <v>682</v>
      </c>
      <c r="C211" s="18" t="s">
        <v>383</v>
      </c>
      <c r="D211" s="18" t="s">
        <v>384</v>
      </c>
      <c r="E211" s="18">
        <v>200</v>
      </c>
      <c r="F211" s="18" t="s">
        <v>325</v>
      </c>
      <c r="G211" s="18" t="s">
        <v>645</v>
      </c>
      <c r="H211" s="18"/>
    </row>
    <row r="212" spans="1:8" x14ac:dyDescent="0.3">
      <c r="B212" s="18" t="s">
        <v>682</v>
      </c>
      <c r="C212" s="18" t="s">
        <v>671</v>
      </c>
      <c r="D212" s="18" t="s">
        <v>672</v>
      </c>
      <c r="E212" s="18">
        <v>200</v>
      </c>
      <c r="F212" s="18" t="s">
        <v>309</v>
      </c>
      <c r="G212" s="18" t="s">
        <v>645</v>
      </c>
      <c r="H212" s="18"/>
    </row>
    <row r="213" spans="1:8" x14ac:dyDescent="0.3">
      <c r="B213" s="18" t="s">
        <v>682</v>
      </c>
      <c r="C213" s="18" t="s">
        <v>673</v>
      </c>
      <c r="D213" s="18" t="s">
        <v>674</v>
      </c>
      <c r="E213" s="18">
        <v>20</v>
      </c>
      <c r="F213" s="18" t="s">
        <v>309</v>
      </c>
      <c r="G213" s="18" t="s">
        <v>645</v>
      </c>
      <c r="H213" s="18"/>
    </row>
    <row r="214" spans="1:8" x14ac:dyDescent="0.3">
      <c r="B214" s="18" t="s">
        <v>682</v>
      </c>
      <c r="C214" s="18" t="s">
        <v>681</v>
      </c>
      <c r="D214" s="18" t="s">
        <v>365</v>
      </c>
      <c r="E214" s="18">
        <v>500</v>
      </c>
      <c r="F214" s="18" t="s">
        <v>309</v>
      </c>
      <c r="G214" s="18" t="s">
        <v>645</v>
      </c>
      <c r="H214" s="18"/>
    </row>
    <row r="215" spans="1:8" x14ac:dyDescent="0.3">
      <c r="B215" s="18" t="s">
        <v>682</v>
      </c>
      <c r="C215" s="18" t="s">
        <v>586</v>
      </c>
      <c r="D215" s="18" t="s">
        <v>644</v>
      </c>
      <c r="E215" s="18">
        <v>50</v>
      </c>
      <c r="F215" s="18" t="s">
        <v>309</v>
      </c>
      <c r="G215" s="18" t="s">
        <v>645</v>
      </c>
      <c r="H215" s="18"/>
    </row>
    <row r="216" spans="1:8" x14ac:dyDescent="0.3">
      <c r="B216" s="18" t="s">
        <v>682</v>
      </c>
      <c r="C216" s="18" t="s">
        <v>544</v>
      </c>
      <c r="D216" s="18" t="s">
        <v>546</v>
      </c>
      <c r="E216" s="18">
        <v>1</v>
      </c>
      <c r="F216" s="18" t="s">
        <v>108</v>
      </c>
      <c r="G216" s="18" t="s">
        <v>645</v>
      </c>
      <c r="H216" s="18"/>
    </row>
    <row r="217" spans="1:8" x14ac:dyDescent="0.3">
      <c r="B217" s="18" t="s">
        <v>682</v>
      </c>
      <c r="C217" s="18" t="s">
        <v>591</v>
      </c>
      <c r="D217" s="18" t="s">
        <v>679</v>
      </c>
      <c r="E217" s="18">
        <v>1</v>
      </c>
      <c r="F217" s="18" t="s">
        <v>108</v>
      </c>
      <c r="G217" s="18" t="s">
        <v>645</v>
      </c>
      <c r="H217" s="18" t="s">
        <v>628</v>
      </c>
    </row>
    <row r="218" spans="1:8" x14ac:dyDescent="0.3">
      <c r="B218" s="18" t="s">
        <v>682</v>
      </c>
      <c r="C218" s="18" t="s">
        <v>441</v>
      </c>
      <c r="D218" s="18" t="s">
        <v>500</v>
      </c>
      <c r="E218" s="18">
        <v>1</v>
      </c>
      <c r="F218" s="18" t="s">
        <v>108</v>
      </c>
      <c r="G218" s="18" t="s">
        <v>645</v>
      </c>
      <c r="H218" s="18" t="s">
        <v>628</v>
      </c>
    </row>
    <row r="219" spans="1:8" x14ac:dyDescent="0.3">
      <c r="A219" s="14" t="s">
        <v>648</v>
      </c>
      <c r="B219" s="18" t="s">
        <v>683</v>
      </c>
      <c r="C219" s="18" t="s">
        <v>383</v>
      </c>
      <c r="D219" s="18" t="s">
        <v>384</v>
      </c>
      <c r="E219" s="18">
        <v>200</v>
      </c>
      <c r="F219" s="18" t="s">
        <v>325</v>
      </c>
      <c r="G219" s="18" t="s">
        <v>645</v>
      </c>
      <c r="H219" s="18"/>
    </row>
    <row r="220" spans="1:8" x14ac:dyDescent="0.3">
      <c r="B220" s="18" t="s">
        <v>683</v>
      </c>
      <c r="C220" s="18" t="s">
        <v>671</v>
      </c>
      <c r="D220" s="18" t="s">
        <v>672</v>
      </c>
      <c r="E220" s="18">
        <v>200</v>
      </c>
      <c r="F220" s="18" t="s">
        <v>309</v>
      </c>
      <c r="G220" s="18" t="s">
        <v>645</v>
      </c>
      <c r="H220" s="18"/>
    </row>
    <row r="221" spans="1:8" x14ac:dyDescent="0.3">
      <c r="B221" s="18" t="s">
        <v>683</v>
      </c>
      <c r="C221" s="18" t="s">
        <v>673</v>
      </c>
      <c r="D221" s="18" t="s">
        <v>674</v>
      </c>
      <c r="E221" s="18">
        <v>20</v>
      </c>
      <c r="F221" s="18" t="s">
        <v>309</v>
      </c>
      <c r="G221" s="18" t="s">
        <v>645</v>
      </c>
      <c r="H221" s="18"/>
    </row>
    <row r="222" spans="1:8" x14ac:dyDescent="0.3">
      <c r="B222" s="18" t="s">
        <v>683</v>
      </c>
      <c r="C222" s="18" t="s">
        <v>392</v>
      </c>
      <c r="D222" s="18" t="s">
        <v>393</v>
      </c>
      <c r="E222" s="18">
        <v>100</v>
      </c>
      <c r="F222" s="18" t="s">
        <v>309</v>
      </c>
      <c r="G222" s="18" t="s">
        <v>645</v>
      </c>
      <c r="H222" s="18"/>
    </row>
    <row r="223" spans="1:8" x14ac:dyDescent="0.3">
      <c r="B223" s="18" t="s">
        <v>683</v>
      </c>
      <c r="C223" s="18" t="s">
        <v>586</v>
      </c>
      <c r="D223" s="18" t="s">
        <v>644</v>
      </c>
      <c r="E223" s="18">
        <v>50</v>
      </c>
      <c r="F223" s="18" t="s">
        <v>309</v>
      </c>
      <c r="G223" s="18" t="s">
        <v>645</v>
      </c>
      <c r="H223" s="18"/>
    </row>
    <row r="224" spans="1:8" x14ac:dyDescent="0.3">
      <c r="B224" s="18" t="s">
        <v>683</v>
      </c>
      <c r="C224" s="18" t="s">
        <v>544</v>
      </c>
      <c r="D224" s="18" t="s">
        <v>546</v>
      </c>
      <c r="E224" s="18">
        <v>1</v>
      </c>
      <c r="F224" s="18" t="s">
        <v>108</v>
      </c>
      <c r="G224" s="18" t="s">
        <v>645</v>
      </c>
      <c r="H224" s="18"/>
    </row>
    <row r="225" spans="1:8" x14ac:dyDescent="0.3">
      <c r="B225" s="18" t="s">
        <v>683</v>
      </c>
      <c r="C225" s="18" t="s">
        <v>591</v>
      </c>
      <c r="D225" s="18" t="s">
        <v>679</v>
      </c>
      <c r="E225" s="18">
        <v>1</v>
      </c>
      <c r="F225" s="18" t="s">
        <v>108</v>
      </c>
      <c r="G225" s="18" t="s">
        <v>645</v>
      </c>
      <c r="H225" s="18" t="s">
        <v>628</v>
      </c>
    </row>
    <row r="226" spans="1:8" x14ac:dyDescent="0.3">
      <c r="B226" s="18" t="s">
        <v>683</v>
      </c>
      <c r="C226" s="18" t="s">
        <v>441</v>
      </c>
      <c r="D226" s="18" t="s">
        <v>500</v>
      </c>
      <c r="E226" s="18">
        <v>1</v>
      </c>
      <c r="F226" s="18" t="s">
        <v>108</v>
      </c>
      <c r="G226" s="18" t="s">
        <v>645</v>
      </c>
      <c r="H226" s="18" t="s">
        <v>628</v>
      </c>
    </row>
    <row r="227" spans="1:8" x14ac:dyDescent="0.3">
      <c r="A227" s="28" t="s">
        <v>695</v>
      </c>
      <c r="B227" s="27" t="s">
        <v>647</v>
      </c>
      <c r="C227" s="27" t="s">
        <v>380</v>
      </c>
      <c r="D227" s="27" t="s">
        <v>381</v>
      </c>
      <c r="E227" s="27">
        <v>240</v>
      </c>
      <c r="F227" s="27" t="s">
        <v>325</v>
      </c>
      <c r="G227" s="27" t="s">
        <v>694</v>
      </c>
      <c r="H227" s="27"/>
    </row>
    <row r="228" spans="1:8" x14ac:dyDescent="0.3">
      <c r="B228" s="18" t="s">
        <v>647</v>
      </c>
      <c r="C228" s="18" t="s">
        <v>457</v>
      </c>
      <c r="D228" s="18" t="s">
        <v>513</v>
      </c>
      <c r="E228" s="18">
        <v>1</v>
      </c>
      <c r="F228" s="18" t="s">
        <v>108</v>
      </c>
      <c r="G228" s="27" t="s">
        <v>694</v>
      </c>
      <c r="H228" s="18"/>
    </row>
    <row r="229" spans="1:8" x14ac:dyDescent="0.3">
      <c r="B229" s="18" t="s">
        <v>647</v>
      </c>
      <c r="C229" s="18" t="s">
        <v>458</v>
      </c>
      <c r="D229" s="18" t="s">
        <v>514</v>
      </c>
      <c r="E229" s="18">
        <v>1</v>
      </c>
      <c r="F229" s="18" t="s">
        <v>108</v>
      </c>
      <c r="G229" s="27" t="s">
        <v>694</v>
      </c>
      <c r="H229" s="18"/>
    </row>
    <row r="230" spans="1:8" x14ac:dyDescent="0.3">
      <c r="B230" s="18" t="s">
        <v>696</v>
      </c>
      <c r="C230" s="18" t="s">
        <v>380</v>
      </c>
      <c r="D230" s="18" t="s">
        <v>381</v>
      </c>
      <c r="E230" s="18">
        <v>240</v>
      </c>
      <c r="F230" s="18" t="s">
        <v>325</v>
      </c>
      <c r="G230" s="27" t="s">
        <v>694</v>
      </c>
      <c r="H230" s="18"/>
    </row>
    <row r="231" spans="1:8" x14ac:dyDescent="0.3">
      <c r="B231" s="18" t="s">
        <v>696</v>
      </c>
      <c r="C231" s="18" t="s">
        <v>592</v>
      </c>
      <c r="D231" s="18" t="s">
        <v>697</v>
      </c>
      <c r="E231" s="18">
        <v>1</v>
      </c>
      <c r="F231" s="18" t="s">
        <v>108</v>
      </c>
      <c r="G231" s="27" t="s">
        <v>694</v>
      </c>
      <c r="H231" s="18"/>
    </row>
    <row r="232" spans="1:8" x14ac:dyDescent="0.3">
      <c r="B232" s="18" t="s">
        <v>696</v>
      </c>
      <c r="C232" s="18" t="s">
        <v>593</v>
      </c>
      <c r="D232" s="18" t="s">
        <v>698</v>
      </c>
      <c r="E232" s="18">
        <v>1</v>
      </c>
      <c r="F232" s="18" t="s">
        <v>108</v>
      </c>
      <c r="G232" s="27" t="s">
        <v>694</v>
      </c>
      <c r="H232" s="18"/>
    </row>
    <row r="233" spans="1:8" x14ac:dyDescent="0.3">
      <c r="B233" s="18" t="s">
        <v>649</v>
      </c>
      <c r="C233" s="18" t="s">
        <v>297</v>
      </c>
      <c r="D233" s="24" t="s">
        <v>478</v>
      </c>
      <c r="E233" s="18">
        <v>1</v>
      </c>
      <c r="F233" s="18" t="s">
        <v>108</v>
      </c>
      <c r="G233" s="27" t="s">
        <v>694</v>
      </c>
      <c r="H233" s="18"/>
    </row>
    <row r="234" spans="1:8" x14ac:dyDescent="0.3">
      <c r="B234" s="18" t="s">
        <v>649</v>
      </c>
      <c r="C234" s="18" t="s">
        <v>587</v>
      </c>
      <c r="D234" s="14" t="s">
        <v>650</v>
      </c>
      <c r="E234" s="18">
        <v>15</v>
      </c>
      <c r="F234" s="18" t="s">
        <v>309</v>
      </c>
      <c r="G234" s="27" t="s">
        <v>694</v>
      </c>
      <c r="H234" s="18"/>
    </row>
    <row r="235" spans="1:8" x14ac:dyDescent="0.3">
      <c r="B235" s="18" t="s">
        <v>649</v>
      </c>
      <c r="C235" s="18" t="s">
        <v>367</v>
      </c>
      <c r="D235" s="18" t="s">
        <v>419</v>
      </c>
      <c r="E235" s="18">
        <v>1</v>
      </c>
      <c r="F235" s="18" t="s">
        <v>309</v>
      </c>
      <c r="G235" s="27" t="s">
        <v>694</v>
      </c>
      <c r="H235" s="18"/>
    </row>
    <row r="236" spans="1:8" x14ac:dyDescent="0.3">
      <c r="B236" s="18" t="s">
        <v>649</v>
      </c>
      <c r="C236" s="18" t="s">
        <v>425</v>
      </c>
      <c r="D236" s="18" t="s">
        <v>483</v>
      </c>
      <c r="E236" s="18">
        <v>35</v>
      </c>
      <c r="F236" s="18" t="s">
        <v>309</v>
      </c>
      <c r="G236" s="27" t="s">
        <v>694</v>
      </c>
      <c r="H236" s="18"/>
    </row>
    <row r="237" spans="1:8" x14ac:dyDescent="0.3">
      <c r="B237" s="18" t="s">
        <v>649</v>
      </c>
      <c r="C237" s="18" t="s">
        <v>110</v>
      </c>
      <c r="D237" s="18" t="s">
        <v>307</v>
      </c>
      <c r="E237" s="18">
        <v>45</v>
      </c>
      <c r="F237" s="18" t="s">
        <v>325</v>
      </c>
      <c r="G237" s="27" t="s">
        <v>694</v>
      </c>
      <c r="H237" s="18"/>
    </row>
    <row r="238" spans="1:8" x14ac:dyDescent="0.3">
      <c r="B238" s="18" t="s">
        <v>649</v>
      </c>
      <c r="C238" s="18" t="s">
        <v>455</v>
      </c>
      <c r="D238" s="18" t="s">
        <v>511</v>
      </c>
      <c r="E238" s="18">
        <v>1</v>
      </c>
      <c r="F238" s="18" t="s">
        <v>108</v>
      </c>
      <c r="G238" s="27" t="s">
        <v>694</v>
      </c>
      <c r="H238" s="18"/>
    </row>
    <row r="239" spans="1:8" x14ac:dyDescent="0.3">
      <c r="B239" s="18" t="s">
        <v>649</v>
      </c>
      <c r="C239" s="18" t="s">
        <v>456</v>
      </c>
      <c r="D239" s="18" t="s">
        <v>512</v>
      </c>
      <c r="E239" s="18">
        <v>1</v>
      </c>
      <c r="F239" s="18" t="s">
        <v>108</v>
      </c>
      <c r="G239" s="27" t="s">
        <v>694</v>
      </c>
      <c r="H239" s="18"/>
    </row>
    <row r="240" spans="1:8" x14ac:dyDescent="0.3">
      <c r="B240" s="18" t="s">
        <v>649</v>
      </c>
      <c r="C240" s="18" t="s">
        <v>450</v>
      </c>
      <c r="D240" s="18" t="s">
        <v>654</v>
      </c>
      <c r="E240" s="18">
        <v>1</v>
      </c>
      <c r="F240" s="18" t="s">
        <v>108</v>
      </c>
      <c r="G240" s="27" t="s">
        <v>694</v>
      </c>
      <c r="H240" s="18"/>
    </row>
    <row r="241" spans="1:8" x14ac:dyDescent="0.3">
      <c r="B241" s="18" t="s">
        <v>649</v>
      </c>
      <c r="C241" s="18" t="s">
        <v>438</v>
      </c>
      <c r="D241" s="18" t="s">
        <v>497</v>
      </c>
      <c r="E241" s="18">
        <v>20</v>
      </c>
      <c r="F241" s="18" t="s">
        <v>309</v>
      </c>
      <c r="G241" s="27" t="s">
        <v>694</v>
      </c>
      <c r="H241" s="18"/>
    </row>
    <row r="242" spans="1:8" x14ac:dyDescent="0.3">
      <c r="A242" s="14" t="s">
        <v>648</v>
      </c>
      <c r="B242" s="25" t="s">
        <v>649</v>
      </c>
      <c r="C242" s="18" t="s">
        <v>423</v>
      </c>
      <c r="D242" s="18" t="s">
        <v>481</v>
      </c>
      <c r="E242" s="18">
        <v>5</v>
      </c>
      <c r="F242" s="18" t="s">
        <v>309</v>
      </c>
      <c r="G242" s="27" t="s">
        <v>694</v>
      </c>
      <c r="H242" s="18"/>
    </row>
    <row r="243" spans="1:8" x14ac:dyDescent="0.3">
      <c r="B243" s="25" t="s">
        <v>649</v>
      </c>
      <c r="C243" s="18" t="s">
        <v>424</v>
      </c>
      <c r="D243" s="18" t="s">
        <v>482</v>
      </c>
      <c r="E243" s="18">
        <v>5</v>
      </c>
      <c r="F243" s="18" t="s">
        <v>309</v>
      </c>
      <c r="G243" s="27" t="s">
        <v>694</v>
      </c>
      <c r="H243" s="18"/>
    </row>
    <row r="244" spans="1:8" x14ac:dyDescent="0.3">
      <c r="B244" s="25" t="s">
        <v>649</v>
      </c>
      <c r="C244" s="18" t="s">
        <v>439</v>
      </c>
      <c r="D244" s="18" t="s">
        <v>498</v>
      </c>
      <c r="E244" s="18">
        <v>0.23</v>
      </c>
      <c r="F244" s="18" t="s">
        <v>108</v>
      </c>
      <c r="G244" s="27" t="s">
        <v>694</v>
      </c>
      <c r="H244" s="18" t="s">
        <v>628</v>
      </c>
    </row>
    <row r="245" spans="1:8" x14ac:dyDescent="0.3">
      <c r="B245" s="25" t="s">
        <v>649</v>
      </c>
      <c r="C245" s="18" t="s">
        <v>441</v>
      </c>
      <c r="D245" s="18" t="s">
        <v>500</v>
      </c>
      <c r="E245" s="18">
        <v>1</v>
      </c>
      <c r="F245" s="18" t="s">
        <v>108</v>
      </c>
      <c r="G245" s="27" t="s">
        <v>694</v>
      </c>
      <c r="H245" s="18" t="s">
        <v>628</v>
      </c>
    </row>
    <row r="246" spans="1:8" x14ac:dyDescent="0.3">
      <c r="B246" s="18" t="s">
        <v>652</v>
      </c>
      <c r="C246" s="18" t="s">
        <v>297</v>
      </c>
      <c r="D246" s="24" t="s">
        <v>478</v>
      </c>
      <c r="E246" s="18">
        <v>2</v>
      </c>
      <c r="F246" s="18" t="s">
        <v>108</v>
      </c>
      <c r="G246" s="27" t="s">
        <v>694</v>
      </c>
      <c r="H246" s="18"/>
    </row>
    <row r="247" spans="1:8" x14ac:dyDescent="0.3">
      <c r="B247" s="18" t="s">
        <v>652</v>
      </c>
      <c r="C247" s="18" t="s">
        <v>367</v>
      </c>
      <c r="D247" s="18" t="s">
        <v>419</v>
      </c>
      <c r="E247" s="18">
        <v>20</v>
      </c>
      <c r="F247" s="18" t="s">
        <v>309</v>
      </c>
      <c r="G247" s="27" t="s">
        <v>694</v>
      </c>
      <c r="H247" s="18"/>
    </row>
    <row r="248" spans="1:8" x14ac:dyDescent="0.3">
      <c r="B248" s="18" t="s">
        <v>652</v>
      </c>
      <c r="C248" s="18" t="s">
        <v>425</v>
      </c>
      <c r="D248" s="18" t="s">
        <v>483</v>
      </c>
      <c r="E248" s="18">
        <v>35</v>
      </c>
      <c r="F248" s="18" t="s">
        <v>309</v>
      </c>
      <c r="G248" s="27" t="s">
        <v>694</v>
      </c>
      <c r="H248" s="18"/>
    </row>
    <row r="249" spans="1:8" x14ac:dyDescent="0.3">
      <c r="B249" s="18" t="s">
        <v>652</v>
      </c>
      <c r="C249" s="18" t="s">
        <v>110</v>
      </c>
      <c r="D249" s="18" t="s">
        <v>307</v>
      </c>
      <c r="E249" s="18">
        <v>45</v>
      </c>
      <c r="F249" s="18" t="s">
        <v>325</v>
      </c>
      <c r="G249" s="27" t="s">
        <v>694</v>
      </c>
      <c r="H249" s="18"/>
    </row>
    <row r="250" spans="1:8" x14ac:dyDescent="0.3">
      <c r="B250" s="18" t="s">
        <v>652</v>
      </c>
      <c r="C250" s="18" t="s">
        <v>455</v>
      </c>
      <c r="D250" s="18" t="s">
        <v>511</v>
      </c>
      <c r="E250" s="18">
        <v>1</v>
      </c>
      <c r="F250" s="18" t="s">
        <v>108</v>
      </c>
      <c r="G250" s="27" t="s">
        <v>694</v>
      </c>
      <c r="H250" s="18"/>
    </row>
    <row r="251" spans="1:8" x14ac:dyDescent="0.3">
      <c r="B251" s="18" t="s">
        <v>652</v>
      </c>
      <c r="C251" s="18" t="s">
        <v>456</v>
      </c>
      <c r="D251" s="18" t="s">
        <v>512</v>
      </c>
      <c r="E251" s="18">
        <v>1</v>
      </c>
      <c r="F251" s="18" t="s">
        <v>108</v>
      </c>
      <c r="G251" s="27" t="s">
        <v>694</v>
      </c>
      <c r="H251" s="18"/>
    </row>
    <row r="252" spans="1:8" x14ac:dyDescent="0.3">
      <c r="B252" s="18" t="s">
        <v>652</v>
      </c>
      <c r="C252" s="18" t="s">
        <v>450</v>
      </c>
      <c r="D252" s="18" t="s">
        <v>654</v>
      </c>
      <c r="E252" s="18">
        <v>1</v>
      </c>
      <c r="F252" s="18" t="s">
        <v>108</v>
      </c>
      <c r="G252" s="27" t="s">
        <v>694</v>
      </c>
      <c r="H252" s="18"/>
    </row>
    <row r="253" spans="1:8" x14ac:dyDescent="0.3">
      <c r="B253" s="18" t="s">
        <v>652</v>
      </c>
      <c r="C253" s="18" t="s">
        <v>438</v>
      </c>
      <c r="D253" s="18" t="s">
        <v>497</v>
      </c>
      <c r="E253" s="18">
        <v>1</v>
      </c>
      <c r="F253" s="18" t="s">
        <v>309</v>
      </c>
      <c r="G253" s="27" t="s">
        <v>694</v>
      </c>
      <c r="H253" s="18"/>
    </row>
    <row r="254" spans="1:8" x14ac:dyDescent="0.3">
      <c r="A254" s="14" t="s">
        <v>648</v>
      </c>
      <c r="B254" s="18" t="s">
        <v>652</v>
      </c>
      <c r="C254" s="18" t="s">
        <v>423</v>
      </c>
      <c r="D254" s="18" t="s">
        <v>481</v>
      </c>
      <c r="E254" s="18">
        <v>5</v>
      </c>
      <c r="F254" s="18" t="s">
        <v>309</v>
      </c>
      <c r="G254" s="27" t="s">
        <v>694</v>
      </c>
      <c r="H254" s="18"/>
    </row>
    <row r="255" spans="1:8" x14ac:dyDescent="0.3">
      <c r="B255" s="18" t="s">
        <v>652</v>
      </c>
      <c r="C255" s="18" t="s">
        <v>424</v>
      </c>
      <c r="D255" s="18" t="s">
        <v>482</v>
      </c>
      <c r="E255" s="18">
        <v>5</v>
      </c>
      <c r="F255" s="18" t="s">
        <v>309</v>
      </c>
      <c r="G255" s="27" t="s">
        <v>694</v>
      </c>
      <c r="H255" s="18"/>
    </row>
    <row r="256" spans="1:8" x14ac:dyDescent="0.3">
      <c r="B256" s="18" t="s">
        <v>652</v>
      </c>
      <c r="C256" s="18" t="s">
        <v>439</v>
      </c>
      <c r="D256" s="18" t="s">
        <v>498</v>
      </c>
      <c r="E256" s="18">
        <v>0.23</v>
      </c>
      <c r="F256" s="18" t="s">
        <v>108</v>
      </c>
      <c r="G256" s="27" t="s">
        <v>694</v>
      </c>
      <c r="H256" s="18" t="s">
        <v>628</v>
      </c>
    </row>
    <row r="257" spans="2:8" x14ac:dyDescent="0.3">
      <c r="B257" s="18" t="s">
        <v>652</v>
      </c>
      <c r="C257" s="18" t="s">
        <v>441</v>
      </c>
      <c r="D257" s="18" t="s">
        <v>500</v>
      </c>
      <c r="E257" s="18">
        <v>1</v>
      </c>
      <c r="F257" s="18" t="s">
        <v>108</v>
      </c>
      <c r="G257" s="27" t="s">
        <v>694</v>
      </c>
      <c r="H257" s="18" t="s">
        <v>628</v>
      </c>
    </row>
    <row r="258" spans="2:8" x14ac:dyDescent="0.3">
      <c r="B258" s="18" t="s">
        <v>653</v>
      </c>
      <c r="C258" s="18" t="s">
        <v>297</v>
      </c>
      <c r="D258" s="24" t="s">
        <v>478</v>
      </c>
      <c r="E258" s="18">
        <v>2</v>
      </c>
      <c r="F258" s="18" t="s">
        <v>108</v>
      </c>
      <c r="G258" s="27" t="s">
        <v>694</v>
      </c>
      <c r="H258" s="18"/>
    </row>
    <row r="259" spans="2:8" x14ac:dyDescent="0.3">
      <c r="B259" s="18" t="s">
        <v>653</v>
      </c>
      <c r="C259" s="18" t="s">
        <v>587</v>
      </c>
      <c r="D259" s="14" t="s">
        <v>650</v>
      </c>
      <c r="E259" s="18">
        <v>15</v>
      </c>
      <c r="F259" s="18" t="s">
        <v>309</v>
      </c>
      <c r="G259" s="27" t="s">
        <v>694</v>
      </c>
      <c r="H259" s="18"/>
    </row>
    <row r="260" spans="2:8" x14ac:dyDescent="0.3">
      <c r="B260" s="18" t="s">
        <v>653</v>
      </c>
      <c r="C260" s="18" t="s">
        <v>367</v>
      </c>
      <c r="D260" s="18" t="s">
        <v>419</v>
      </c>
      <c r="E260" s="18">
        <v>20</v>
      </c>
      <c r="F260" s="18" t="s">
        <v>309</v>
      </c>
      <c r="G260" s="27" t="s">
        <v>694</v>
      </c>
      <c r="H260" s="18"/>
    </row>
    <row r="261" spans="2:8" x14ac:dyDescent="0.3">
      <c r="B261" s="18" t="s">
        <v>653</v>
      </c>
      <c r="C261" s="18" t="s">
        <v>425</v>
      </c>
      <c r="D261" s="18" t="s">
        <v>483</v>
      </c>
      <c r="E261" s="18">
        <v>35</v>
      </c>
      <c r="F261" s="18" t="s">
        <v>309</v>
      </c>
      <c r="G261" s="27" t="s">
        <v>694</v>
      </c>
      <c r="H261" s="18"/>
    </row>
    <row r="262" spans="2:8" x14ac:dyDescent="0.3">
      <c r="B262" s="18" t="s">
        <v>653</v>
      </c>
      <c r="C262" s="18" t="s">
        <v>110</v>
      </c>
      <c r="D262" s="18" t="s">
        <v>307</v>
      </c>
      <c r="E262" s="18">
        <v>45</v>
      </c>
      <c r="F262" s="18" t="s">
        <v>325</v>
      </c>
      <c r="G262" s="27" t="s">
        <v>694</v>
      </c>
      <c r="H262" s="18"/>
    </row>
    <row r="263" spans="2:8" x14ac:dyDescent="0.3">
      <c r="B263" s="18" t="s">
        <v>653</v>
      </c>
      <c r="C263" s="18" t="s">
        <v>455</v>
      </c>
      <c r="D263" s="18" t="s">
        <v>511</v>
      </c>
      <c r="E263" s="18">
        <v>1</v>
      </c>
      <c r="F263" s="18" t="s">
        <v>108</v>
      </c>
      <c r="G263" s="27" t="s">
        <v>694</v>
      </c>
      <c r="H263" s="18"/>
    </row>
    <row r="264" spans="2:8" x14ac:dyDescent="0.3">
      <c r="B264" s="18" t="s">
        <v>653</v>
      </c>
      <c r="C264" s="18" t="s">
        <v>456</v>
      </c>
      <c r="D264" s="18" t="s">
        <v>512</v>
      </c>
      <c r="E264" s="18">
        <v>1</v>
      </c>
      <c r="F264" s="18" t="s">
        <v>108</v>
      </c>
      <c r="G264" s="27" t="s">
        <v>694</v>
      </c>
      <c r="H264" s="18"/>
    </row>
    <row r="265" spans="2:8" x14ac:dyDescent="0.3">
      <c r="B265" s="18" t="s">
        <v>653</v>
      </c>
      <c r="C265" s="18" t="s">
        <v>450</v>
      </c>
      <c r="D265" s="18" t="s">
        <v>654</v>
      </c>
      <c r="E265" s="18">
        <v>1</v>
      </c>
      <c r="F265" s="18" t="s">
        <v>108</v>
      </c>
      <c r="G265" s="27" t="s">
        <v>694</v>
      </c>
      <c r="H265" s="18"/>
    </row>
    <row r="266" spans="2:8" x14ac:dyDescent="0.3">
      <c r="B266" s="18" t="s">
        <v>653</v>
      </c>
      <c r="C266" s="18" t="s">
        <v>438</v>
      </c>
      <c r="D266" s="18" t="s">
        <v>497</v>
      </c>
      <c r="E266" s="18">
        <v>1</v>
      </c>
      <c r="F266" s="18" t="s">
        <v>309</v>
      </c>
      <c r="G266" s="27" t="s">
        <v>694</v>
      </c>
      <c r="H266" s="18"/>
    </row>
    <row r="267" spans="2:8" x14ac:dyDescent="0.3">
      <c r="B267" s="18" t="s">
        <v>653</v>
      </c>
      <c r="C267" s="18" t="s">
        <v>423</v>
      </c>
      <c r="D267" s="18" t="s">
        <v>481</v>
      </c>
      <c r="E267" s="18">
        <v>5</v>
      </c>
      <c r="F267" s="18" t="s">
        <v>309</v>
      </c>
      <c r="G267" s="27" t="s">
        <v>694</v>
      </c>
      <c r="H267" s="18"/>
    </row>
    <row r="268" spans="2:8" x14ac:dyDescent="0.3">
      <c r="B268" s="18" t="s">
        <v>653</v>
      </c>
      <c r="C268" s="18" t="s">
        <v>424</v>
      </c>
      <c r="D268" s="18" t="s">
        <v>482</v>
      </c>
      <c r="E268" s="18">
        <v>5</v>
      </c>
      <c r="F268" s="18" t="s">
        <v>309</v>
      </c>
      <c r="G268" s="27" t="s">
        <v>694</v>
      </c>
      <c r="H268" s="18"/>
    </row>
    <row r="269" spans="2:8" x14ac:dyDescent="0.3">
      <c r="B269" s="18" t="s">
        <v>653</v>
      </c>
      <c r="C269" s="18" t="s">
        <v>439</v>
      </c>
      <c r="D269" s="18" t="s">
        <v>498</v>
      </c>
      <c r="E269" s="18">
        <v>0.23</v>
      </c>
      <c r="F269" s="18" t="s">
        <v>108</v>
      </c>
      <c r="G269" s="27" t="s">
        <v>694</v>
      </c>
      <c r="H269" s="18" t="s">
        <v>628</v>
      </c>
    </row>
    <row r="270" spans="2:8" x14ac:dyDescent="0.3">
      <c r="B270" s="18" t="s">
        <v>653</v>
      </c>
      <c r="C270" s="18" t="s">
        <v>441</v>
      </c>
      <c r="D270" s="18" t="s">
        <v>500</v>
      </c>
      <c r="E270" s="18">
        <v>1</v>
      </c>
      <c r="F270" s="18" t="s">
        <v>108</v>
      </c>
      <c r="G270" s="27" t="s">
        <v>694</v>
      </c>
      <c r="H270" s="18" t="s">
        <v>628</v>
      </c>
    </row>
    <row r="271" spans="2:8" x14ac:dyDescent="0.3">
      <c r="B271" s="18" t="s">
        <v>655</v>
      </c>
      <c r="C271" s="18" t="s">
        <v>297</v>
      </c>
      <c r="D271" s="24" t="s">
        <v>478</v>
      </c>
      <c r="E271" s="18">
        <v>1</v>
      </c>
      <c r="F271" s="18" t="s">
        <v>108</v>
      </c>
      <c r="G271" s="27" t="s">
        <v>694</v>
      </c>
      <c r="H271" s="18"/>
    </row>
    <row r="272" spans="2:8" x14ac:dyDescent="0.3">
      <c r="B272" s="18" t="s">
        <v>655</v>
      </c>
      <c r="C272" s="18" t="s">
        <v>367</v>
      </c>
      <c r="D272" s="18" t="s">
        <v>419</v>
      </c>
      <c r="E272" s="18">
        <v>20</v>
      </c>
      <c r="F272" s="18" t="s">
        <v>309</v>
      </c>
      <c r="G272" s="27" t="s">
        <v>694</v>
      </c>
      <c r="H272" s="18"/>
    </row>
    <row r="273" spans="2:8" x14ac:dyDescent="0.3">
      <c r="B273" s="18" t="s">
        <v>655</v>
      </c>
      <c r="C273" s="18" t="s">
        <v>425</v>
      </c>
      <c r="D273" s="18" t="s">
        <v>483</v>
      </c>
      <c r="E273" s="18">
        <v>35</v>
      </c>
      <c r="F273" s="18" t="s">
        <v>309</v>
      </c>
      <c r="G273" s="27" t="s">
        <v>694</v>
      </c>
      <c r="H273" s="18"/>
    </row>
    <row r="274" spans="2:8" x14ac:dyDescent="0.3">
      <c r="B274" s="18" t="s">
        <v>655</v>
      </c>
      <c r="C274" s="18" t="s">
        <v>110</v>
      </c>
      <c r="D274" s="18" t="s">
        <v>307</v>
      </c>
      <c r="E274" s="18">
        <v>45</v>
      </c>
      <c r="F274" s="18" t="s">
        <v>325</v>
      </c>
      <c r="G274" s="27" t="s">
        <v>694</v>
      </c>
      <c r="H274" s="18"/>
    </row>
    <row r="275" spans="2:8" x14ac:dyDescent="0.3">
      <c r="B275" s="18" t="s">
        <v>655</v>
      </c>
      <c r="C275" s="18" t="s">
        <v>455</v>
      </c>
      <c r="D275" s="18" t="s">
        <v>511</v>
      </c>
      <c r="E275" s="18">
        <v>1</v>
      </c>
      <c r="F275" s="18" t="s">
        <v>108</v>
      </c>
      <c r="G275" s="27" t="s">
        <v>694</v>
      </c>
      <c r="H275" s="18"/>
    </row>
    <row r="276" spans="2:8" x14ac:dyDescent="0.3">
      <c r="B276" s="18" t="s">
        <v>655</v>
      </c>
      <c r="C276" s="18" t="s">
        <v>456</v>
      </c>
      <c r="D276" s="18" t="s">
        <v>512</v>
      </c>
      <c r="E276" s="18">
        <v>1</v>
      </c>
      <c r="F276" s="18" t="s">
        <v>108</v>
      </c>
      <c r="G276" s="27" t="s">
        <v>694</v>
      </c>
      <c r="H276" s="18"/>
    </row>
    <row r="277" spans="2:8" x14ac:dyDescent="0.3">
      <c r="B277" s="18" t="s">
        <v>655</v>
      </c>
      <c r="C277" s="18" t="s">
        <v>450</v>
      </c>
      <c r="D277" s="18" t="s">
        <v>654</v>
      </c>
      <c r="E277" s="18">
        <v>1</v>
      </c>
      <c r="F277" s="18" t="s">
        <v>108</v>
      </c>
      <c r="G277" s="27" t="s">
        <v>694</v>
      </c>
      <c r="H277" s="18"/>
    </row>
    <row r="278" spans="2:8" x14ac:dyDescent="0.3">
      <c r="B278" s="18" t="s">
        <v>655</v>
      </c>
      <c r="C278" s="18" t="s">
        <v>438</v>
      </c>
      <c r="D278" s="18" t="s">
        <v>497</v>
      </c>
      <c r="E278" s="18">
        <v>1</v>
      </c>
      <c r="F278" s="18" t="s">
        <v>309</v>
      </c>
      <c r="G278" s="27" t="s">
        <v>694</v>
      </c>
      <c r="H278" s="18"/>
    </row>
    <row r="279" spans="2:8" x14ac:dyDescent="0.3">
      <c r="B279" s="18" t="s">
        <v>655</v>
      </c>
      <c r="C279" s="18" t="s">
        <v>423</v>
      </c>
      <c r="D279" s="18" t="s">
        <v>481</v>
      </c>
      <c r="E279" s="18">
        <v>5</v>
      </c>
      <c r="F279" s="18" t="s">
        <v>309</v>
      </c>
      <c r="G279" s="27" t="s">
        <v>694</v>
      </c>
      <c r="H279" s="18"/>
    </row>
    <row r="280" spans="2:8" x14ac:dyDescent="0.3">
      <c r="B280" s="18" t="s">
        <v>655</v>
      </c>
      <c r="C280" s="18" t="s">
        <v>424</v>
      </c>
      <c r="D280" s="18" t="s">
        <v>482</v>
      </c>
      <c r="E280" s="18">
        <v>5</v>
      </c>
      <c r="F280" s="18" t="s">
        <v>309</v>
      </c>
      <c r="G280" s="27" t="s">
        <v>694</v>
      </c>
      <c r="H280" s="18"/>
    </row>
    <row r="281" spans="2:8" x14ac:dyDescent="0.3">
      <c r="B281" s="18" t="s">
        <v>655</v>
      </c>
      <c r="C281" s="18" t="s">
        <v>439</v>
      </c>
      <c r="D281" s="18" t="s">
        <v>498</v>
      </c>
      <c r="E281" s="18">
        <v>0.23</v>
      </c>
      <c r="F281" s="18" t="s">
        <v>108</v>
      </c>
      <c r="G281" s="27" t="s">
        <v>694</v>
      </c>
      <c r="H281" s="18" t="s">
        <v>628</v>
      </c>
    </row>
    <row r="282" spans="2:8" x14ac:dyDescent="0.3">
      <c r="B282" s="18" t="s">
        <v>655</v>
      </c>
      <c r="C282" s="18" t="s">
        <v>441</v>
      </c>
      <c r="D282" s="18" t="s">
        <v>500</v>
      </c>
      <c r="E282" s="18">
        <v>1</v>
      </c>
      <c r="F282" s="18" t="s">
        <v>108</v>
      </c>
      <c r="G282" s="27" t="s">
        <v>694</v>
      </c>
      <c r="H282" s="18" t="s">
        <v>628</v>
      </c>
    </row>
    <row r="283" spans="2:8" x14ac:dyDescent="0.3">
      <c r="B283" s="18" t="s">
        <v>656</v>
      </c>
      <c r="C283" s="18" t="s">
        <v>420</v>
      </c>
      <c r="D283" s="24" t="s">
        <v>479</v>
      </c>
      <c r="E283" s="18">
        <v>1</v>
      </c>
      <c r="F283" s="18" t="s">
        <v>108</v>
      </c>
      <c r="G283" s="27" t="s">
        <v>694</v>
      </c>
      <c r="H283" s="18"/>
    </row>
    <row r="284" spans="2:8" x14ac:dyDescent="0.3">
      <c r="B284" s="18" t="s">
        <v>656</v>
      </c>
      <c r="C284" s="18" t="s">
        <v>367</v>
      </c>
      <c r="D284" s="18" t="s">
        <v>419</v>
      </c>
      <c r="E284" s="18">
        <v>35</v>
      </c>
      <c r="F284" s="18" t="s">
        <v>309</v>
      </c>
      <c r="G284" s="27" t="s">
        <v>694</v>
      </c>
      <c r="H284" s="18"/>
    </row>
    <row r="285" spans="2:8" x14ac:dyDescent="0.3">
      <c r="B285" s="18" t="s">
        <v>656</v>
      </c>
      <c r="C285" s="18" t="s">
        <v>587</v>
      </c>
      <c r="D285" s="14" t="s">
        <v>650</v>
      </c>
      <c r="E285" s="18">
        <v>25</v>
      </c>
      <c r="F285" s="18" t="s">
        <v>309</v>
      </c>
      <c r="G285" s="27" t="s">
        <v>694</v>
      </c>
      <c r="H285" s="18"/>
    </row>
    <row r="286" spans="2:8" x14ac:dyDescent="0.3">
      <c r="B286" s="18" t="s">
        <v>656</v>
      </c>
      <c r="C286" s="18" t="s">
        <v>425</v>
      </c>
      <c r="D286" s="18" t="s">
        <v>483</v>
      </c>
      <c r="E286" s="18">
        <v>35</v>
      </c>
      <c r="F286" s="18" t="s">
        <v>309</v>
      </c>
      <c r="G286" s="27" t="s">
        <v>694</v>
      </c>
      <c r="H286" s="18"/>
    </row>
    <row r="287" spans="2:8" x14ac:dyDescent="0.3">
      <c r="B287" s="18" t="s">
        <v>656</v>
      </c>
      <c r="C287" s="18" t="s">
        <v>110</v>
      </c>
      <c r="D287" s="18" t="s">
        <v>307</v>
      </c>
      <c r="E287" s="18">
        <v>45</v>
      </c>
      <c r="F287" s="18" t="s">
        <v>325</v>
      </c>
      <c r="G287" s="27" t="s">
        <v>694</v>
      </c>
      <c r="H287" s="18"/>
    </row>
    <row r="288" spans="2:8" x14ac:dyDescent="0.3">
      <c r="B288" s="18" t="s">
        <v>656</v>
      </c>
      <c r="C288" s="18" t="s">
        <v>455</v>
      </c>
      <c r="D288" s="18" t="s">
        <v>511</v>
      </c>
      <c r="E288" s="18">
        <v>1</v>
      </c>
      <c r="F288" s="18" t="s">
        <v>108</v>
      </c>
      <c r="G288" s="27" t="s">
        <v>694</v>
      </c>
      <c r="H288" s="18"/>
    </row>
    <row r="289" spans="2:8" x14ac:dyDescent="0.3">
      <c r="B289" s="18" t="s">
        <v>656</v>
      </c>
      <c r="C289" s="18" t="s">
        <v>456</v>
      </c>
      <c r="D289" s="18" t="s">
        <v>512</v>
      </c>
      <c r="E289" s="18">
        <v>1</v>
      </c>
      <c r="F289" s="18" t="s">
        <v>108</v>
      </c>
      <c r="G289" s="27" t="s">
        <v>694</v>
      </c>
      <c r="H289" s="18"/>
    </row>
    <row r="290" spans="2:8" x14ac:dyDescent="0.3">
      <c r="B290" s="18" t="s">
        <v>656</v>
      </c>
      <c r="C290" s="18" t="s">
        <v>450</v>
      </c>
      <c r="D290" s="18" t="s">
        <v>654</v>
      </c>
      <c r="E290" s="18">
        <v>1</v>
      </c>
      <c r="F290" s="18" t="s">
        <v>108</v>
      </c>
      <c r="G290" s="27" t="s">
        <v>694</v>
      </c>
      <c r="H290" s="18"/>
    </row>
    <row r="291" spans="2:8" x14ac:dyDescent="0.3">
      <c r="B291" s="18" t="s">
        <v>656</v>
      </c>
      <c r="C291" s="18" t="s">
        <v>438</v>
      </c>
      <c r="D291" s="18" t="s">
        <v>497</v>
      </c>
      <c r="E291" s="18">
        <v>1</v>
      </c>
      <c r="F291" s="18" t="s">
        <v>309</v>
      </c>
      <c r="G291" s="27" t="s">
        <v>694</v>
      </c>
      <c r="H291" s="18"/>
    </row>
    <row r="292" spans="2:8" x14ac:dyDescent="0.3">
      <c r="B292" s="18" t="s">
        <v>656</v>
      </c>
      <c r="C292" s="18" t="s">
        <v>423</v>
      </c>
      <c r="D292" s="18" t="s">
        <v>481</v>
      </c>
      <c r="E292" s="18">
        <v>5</v>
      </c>
      <c r="F292" s="18" t="s">
        <v>309</v>
      </c>
      <c r="G292" s="27" t="s">
        <v>694</v>
      </c>
      <c r="H292" s="18"/>
    </row>
    <row r="293" spans="2:8" x14ac:dyDescent="0.3">
      <c r="B293" s="18" t="s">
        <v>656</v>
      </c>
      <c r="C293" s="18" t="s">
        <v>424</v>
      </c>
      <c r="D293" s="18" t="s">
        <v>482</v>
      </c>
      <c r="E293" s="18">
        <v>5</v>
      </c>
      <c r="F293" s="18" t="s">
        <v>309</v>
      </c>
      <c r="G293" s="27" t="s">
        <v>694</v>
      </c>
      <c r="H293" s="18"/>
    </row>
    <row r="294" spans="2:8" x14ac:dyDescent="0.3">
      <c r="B294" s="18" t="s">
        <v>656</v>
      </c>
      <c r="C294" s="18" t="s">
        <v>439</v>
      </c>
      <c r="D294" s="18" t="s">
        <v>498</v>
      </c>
      <c r="E294" s="18">
        <v>0.23</v>
      </c>
      <c r="F294" s="18" t="s">
        <v>108</v>
      </c>
      <c r="G294" s="27" t="s">
        <v>694</v>
      </c>
      <c r="H294" s="18" t="s">
        <v>628</v>
      </c>
    </row>
    <row r="295" spans="2:8" x14ac:dyDescent="0.3">
      <c r="B295" s="18" t="s">
        <v>656</v>
      </c>
      <c r="C295" s="18" t="s">
        <v>441</v>
      </c>
      <c r="D295" s="18" t="s">
        <v>500</v>
      </c>
      <c r="E295" s="18">
        <v>1</v>
      </c>
      <c r="F295" s="18" t="s">
        <v>108</v>
      </c>
      <c r="G295" s="27" t="s">
        <v>694</v>
      </c>
      <c r="H295" s="18" t="s">
        <v>628</v>
      </c>
    </row>
    <row r="296" spans="2:8" x14ac:dyDescent="0.3">
      <c r="B296" s="18" t="s">
        <v>657</v>
      </c>
      <c r="C296" s="18" t="s">
        <v>420</v>
      </c>
      <c r="D296" s="24" t="s">
        <v>479</v>
      </c>
      <c r="E296" s="18">
        <v>1</v>
      </c>
      <c r="F296" s="18" t="s">
        <v>108</v>
      </c>
      <c r="G296" s="27" t="s">
        <v>694</v>
      </c>
      <c r="H296" s="18"/>
    </row>
    <row r="297" spans="2:8" x14ac:dyDescent="0.3">
      <c r="B297" s="18" t="s">
        <v>657</v>
      </c>
      <c r="C297" s="18" t="s">
        <v>297</v>
      </c>
      <c r="D297" s="24" t="s">
        <v>478</v>
      </c>
      <c r="E297" s="18">
        <v>5</v>
      </c>
      <c r="F297" s="18" t="s">
        <v>108</v>
      </c>
      <c r="G297" s="27" t="s">
        <v>694</v>
      </c>
      <c r="H297" s="18"/>
    </row>
    <row r="298" spans="2:8" x14ac:dyDescent="0.3">
      <c r="B298" s="18" t="s">
        <v>657</v>
      </c>
      <c r="C298" s="18" t="s">
        <v>367</v>
      </c>
      <c r="D298" s="18" t="s">
        <v>419</v>
      </c>
      <c r="E298" s="18">
        <v>95</v>
      </c>
      <c r="F298" s="18" t="s">
        <v>309</v>
      </c>
      <c r="G298" s="27" t="s">
        <v>694</v>
      </c>
      <c r="H298" s="18"/>
    </row>
    <row r="299" spans="2:8" x14ac:dyDescent="0.3">
      <c r="B299" s="18" t="s">
        <v>657</v>
      </c>
      <c r="C299" s="18" t="s">
        <v>587</v>
      </c>
      <c r="D299" s="14" t="s">
        <v>650</v>
      </c>
      <c r="E299" s="18">
        <v>45</v>
      </c>
      <c r="F299" s="18" t="s">
        <v>309</v>
      </c>
      <c r="G299" s="27" t="s">
        <v>694</v>
      </c>
      <c r="H299" s="18"/>
    </row>
    <row r="300" spans="2:8" x14ac:dyDescent="0.3">
      <c r="B300" s="18" t="s">
        <v>657</v>
      </c>
      <c r="C300" s="18" t="s">
        <v>425</v>
      </c>
      <c r="D300" s="18" t="s">
        <v>483</v>
      </c>
      <c r="E300" s="18">
        <v>35</v>
      </c>
      <c r="F300" s="18" t="s">
        <v>309</v>
      </c>
      <c r="G300" s="27" t="s">
        <v>694</v>
      </c>
      <c r="H300" s="18"/>
    </row>
    <row r="301" spans="2:8" x14ac:dyDescent="0.3">
      <c r="B301" s="18" t="s">
        <v>657</v>
      </c>
      <c r="C301" s="18" t="s">
        <v>110</v>
      </c>
      <c r="D301" s="18" t="s">
        <v>307</v>
      </c>
      <c r="E301" s="18">
        <v>45</v>
      </c>
      <c r="F301" s="18" t="s">
        <v>325</v>
      </c>
      <c r="G301" s="27" t="s">
        <v>694</v>
      </c>
      <c r="H301" s="18"/>
    </row>
    <row r="302" spans="2:8" x14ac:dyDescent="0.3">
      <c r="B302" s="18" t="s">
        <v>657</v>
      </c>
      <c r="C302" s="18" t="s">
        <v>455</v>
      </c>
      <c r="D302" s="18" t="s">
        <v>511</v>
      </c>
      <c r="E302" s="18">
        <v>1</v>
      </c>
      <c r="F302" s="18" t="s">
        <v>108</v>
      </c>
      <c r="G302" s="27" t="s">
        <v>694</v>
      </c>
      <c r="H302" s="18"/>
    </row>
    <row r="303" spans="2:8" x14ac:dyDescent="0.3">
      <c r="B303" s="18" t="s">
        <v>657</v>
      </c>
      <c r="C303" s="18" t="s">
        <v>456</v>
      </c>
      <c r="D303" s="18" t="s">
        <v>512</v>
      </c>
      <c r="E303" s="18">
        <v>1</v>
      </c>
      <c r="F303" s="18" t="s">
        <v>108</v>
      </c>
      <c r="G303" s="27" t="s">
        <v>694</v>
      </c>
      <c r="H303" s="18"/>
    </row>
    <row r="304" spans="2:8" x14ac:dyDescent="0.3">
      <c r="B304" s="18" t="s">
        <v>657</v>
      </c>
      <c r="C304" s="14" t="s">
        <v>450</v>
      </c>
      <c r="D304" s="14" t="s">
        <v>651</v>
      </c>
      <c r="E304" s="18">
        <v>1</v>
      </c>
      <c r="F304" s="18" t="s">
        <v>108</v>
      </c>
      <c r="G304" s="27" t="s">
        <v>694</v>
      </c>
      <c r="H304" s="18"/>
    </row>
    <row r="305" spans="2:8" x14ac:dyDescent="0.3">
      <c r="B305" s="18" t="s">
        <v>657</v>
      </c>
      <c r="C305" s="18" t="s">
        <v>438</v>
      </c>
      <c r="D305" s="18" t="s">
        <v>497</v>
      </c>
      <c r="E305" s="18">
        <v>2</v>
      </c>
      <c r="F305" s="18" t="s">
        <v>309</v>
      </c>
      <c r="G305" s="27" t="s">
        <v>694</v>
      </c>
      <c r="H305" s="18"/>
    </row>
    <row r="306" spans="2:8" x14ac:dyDescent="0.3">
      <c r="B306" s="18" t="s">
        <v>657</v>
      </c>
      <c r="C306" s="18" t="s">
        <v>423</v>
      </c>
      <c r="D306" s="18" t="s">
        <v>481</v>
      </c>
      <c r="E306" s="18">
        <v>20</v>
      </c>
      <c r="F306" s="18" t="s">
        <v>309</v>
      </c>
      <c r="G306" s="27" t="s">
        <v>694</v>
      </c>
      <c r="H306" s="18"/>
    </row>
    <row r="307" spans="2:8" x14ac:dyDescent="0.3">
      <c r="B307" s="18" t="s">
        <v>657</v>
      </c>
      <c r="C307" s="18" t="s">
        <v>424</v>
      </c>
      <c r="D307" s="18" t="s">
        <v>482</v>
      </c>
      <c r="E307" s="18">
        <v>20</v>
      </c>
      <c r="F307" s="18" t="s">
        <v>309</v>
      </c>
      <c r="G307" s="27" t="s">
        <v>694</v>
      </c>
      <c r="H307" s="18"/>
    </row>
    <row r="308" spans="2:8" x14ac:dyDescent="0.3">
      <c r="B308" s="18" t="s">
        <v>657</v>
      </c>
      <c r="C308" s="18" t="s">
        <v>439</v>
      </c>
      <c r="D308" s="18" t="s">
        <v>498</v>
      </c>
      <c r="E308" s="18">
        <v>0.3</v>
      </c>
      <c r="F308" s="18" t="s">
        <v>108</v>
      </c>
      <c r="G308" s="27" t="s">
        <v>694</v>
      </c>
      <c r="H308" s="18" t="s">
        <v>628</v>
      </c>
    </row>
    <row r="309" spans="2:8" x14ac:dyDescent="0.3">
      <c r="B309" s="18" t="s">
        <v>657</v>
      </c>
      <c r="C309" s="18" t="s">
        <v>441</v>
      </c>
      <c r="D309" s="18" t="s">
        <v>500</v>
      </c>
      <c r="E309" s="18">
        <v>1</v>
      </c>
      <c r="F309" s="18" t="s">
        <v>108</v>
      </c>
      <c r="G309" s="27" t="s">
        <v>694</v>
      </c>
      <c r="H309" s="18" t="s">
        <v>628</v>
      </c>
    </row>
    <row r="310" spans="2:8" x14ac:dyDescent="0.3">
      <c r="B310" s="18" t="s">
        <v>658</v>
      </c>
      <c r="C310" s="18" t="s">
        <v>367</v>
      </c>
      <c r="D310" s="18" t="s">
        <v>419</v>
      </c>
      <c r="E310" s="18">
        <v>80</v>
      </c>
      <c r="F310" s="18" t="s">
        <v>309</v>
      </c>
      <c r="G310" s="27" t="s">
        <v>694</v>
      </c>
      <c r="H310" s="18"/>
    </row>
    <row r="311" spans="2:8" x14ac:dyDescent="0.3">
      <c r="B311" s="18" t="s">
        <v>658</v>
      </c>
      <c r="C311" s="18" t="s">
        <v>297</v>
      </c>
      <c r="D311" s="24" t="s">
        <v>478</v>
      </c>
      <c r="E311" s="18">
        <v>3</v>
      </c>
      <c r="F311" s="18" t="s">
        <v>108</v>
      </c>
      <c r="G311" s="27" t="s">
        <v>694</v>
      </c>
      <c r="H311" s="18"/>
    </row>
    <row r="312" spans="2:8" x14ac:dyDescent="0.3">
      <c r="B312" s="18" t="s">
        <v>658</v>
      </c>
      <c r="C312" s="18" t="s">
        <v>425</v>
      </c>
      <c r="D312" s="18" t="s">
        <v>483</v>
      </c>
      <c r="E312" s="18">
        <v>35</v>
      </c>
      <c r="F312" s="18" t="s">
        <v>309</v>
      </c>
      <c r="G312" s="27" t="s">
        <v>694</v>
      </c>
      <c r="H312" s="18"/>
    </row>
    <row r="313" spans="2:8" x14ac:dyDescent="0.3">
      <c r="B313" s="18" t="s">
        <v>658</v>
      </c>
      <c r="C313" s="18" t="s">
        <v>110</v>
      </c>
      <c r="D313" s="18" t="s">
        <v>307</v>
      </c>
      <c r="E313" s="18">
        <v>45</v>
      </c>
      <c r="F313" s="18" t="s">
        <v>325</v>
      </c>
      <c r="G313" s="27" t="s">
        <v>694</v>
      </c>
      <c r="H313" s="18"/>
    </row>
    <row r="314" spans="2:8" x14ac:dyDescent="0.3">
      <c r="B314" s="18" t="s">
        <v>658</v>
      </c>
      <c r="C314" s="18" t="s">
        <v>455</v>
      </c>
      <c r="D314" s="18" t="s">
        <v>511</v>
      </c>
      <c r="E314" s="18">
        <v>1</v>
      </c>
      <c r="F314" s="18" t="s">
        <v>108</v>
      </c>
      <c r="G314" s="27" t="s">
        <v>694</v>
      </c>
      <c r="H314" s="18"/>
    </row>
    <row r="315" spans="2:8" x14ac:dyDescent="0.3">
      <c r="B315" s="18" t="s">
        <v>658</v>
      </c>
      <c r="C315" s="18" t="s">
        <v>456</v>
      </c>
      <c r="D315" s="18" t="s">
        <v>512</v>
      </c>
      <c r="E315" s="18">
        <v>1</v>
      </c>
      <c r="F315" s="18" t="s">
        <v>108</v>
      </c>
      <c r="G315" s="27" t="s">
        <v>694</v>
      </c>
      <c r="H315" s="18"/>
    </row>
    <row r="316" spans="2:8" x14ac:dyDescent="0.3">
      <c r="B316" s="18" t="s">
        <v>658</v>
      </c>
      <c r="C316" s="18" t="s">
        <v>423</v>
      </c>
      <c r="D316" s="18" t="s">
        <v>481</v>
      </c>
      <c r="E316" s="18">
        <v>5</v>
      </c>
      <c r="F316" s="18" t="s">
        <v>309</v>
      </c>
      <c r="G316" s="27" t="s">
        <v>694</v>
      </c>
      <c r="H316" s="18"/>
    </row>
    <row r="317" spans="2:8" x14ac:dyDescent="0.3">
      <c r="B317" s="18" t="s">
        <v>658</v>
      </c>
      <c r="C317" s="18" t="s">
        <v>424</v>
      </c>
      <c r="D317" s="18" t="s">
        <v>482</v>
      </c>
      <c r="E317" s="18">
        <v>5</v>
      </c>
      <c r="F317" s="18" t="s">
        <v>309</v>
      </c>
      <c r="G317" s="27" t="s">
        <v>694</v>
      </c>
      <c r="H317" s="18"/>
    </row>
    <row r="318" spans="2:8" x14ac:dyDescent="0.3">
      <c r="B318" s="18" t="s">
        <v>658</v>
      </c>
      <c r="C318" s="18" t="s">
        <v>459</v>
      </c>
      <c r="D318" s="18" t="s">
        <v>515</v>
      </c>
      <c r="E318" s="18">
        <v>1</v>
      </c>
      <c r="F318" s="18" t="s">
        <v>108</v>
      </c>
      <c r="G318" s="27" t="s">
        <v>694</v>
      </c>
      <c r="H318" s="18"/>
    </row>
    <row r="319" spans="2:8" x14ac:dyDescent="0.3">
      <c r="B319" s="18" t="s">
        <v>658</v>
      </c>
      <c r="C319" s="18" t="s">
        <v>460</v>
      </c>
      <c r="D319" s="18" t="s">
        <v>516</v>
      </c>
      <c r="E319" s="18">
        <v>1</v>
      </c>
      <c r="F319" s="18" t="s">
        <v>108</v>
      </c>
      <c r="G319" s="27" t="s">
        <v>694</v>
      </c>
      <c r="H319" s="18"/>
    </row>
    <row r="320" spans="2:8" x14ac:dyDescent="0.3">
      <c r="B320" s="18" t="s">
        <v>658</v>
      </c>
      <c r="C320" s="18" t="s">
        <v>441</v>
      </c>
      <c r="D320" s="18" t="s">
        <v>500</v>
      </c>
      <c r="E320" s="18">
        <v>1</v>
      </c>
      <c r="F320" s="18" t="s">
        <v>108</v>
      </c>
      <c r="G320" s="27" t="s">
        <v>694</v>
      </c>
      <c r="H320" s="18" t="s">
        <v>628</v>
      </c>
    </row>
    <row r="321" spans="2:8" x14ac:dyDescent="0.3">
      <c r="B321" s="18" t="s">
        <v>659</v>
      </c>
      <c r="C321" s="18" t="s">
        <v>422</v>
      </c>
      <c r="D321" s="24" t="s">
        <v>608</v>
      </c>
      <c r="E321" s="18">
        <v>1</v>
      </c>
      <c r="F321" s="18" t="s">
        <v>108</v>
      </c>
      <c r="G321" s="27" t="s">
        <v>694</v>
      </c>
      <c r="H321" s="18"/>
    </row>
    <row r="322" spans="2:8" x14ac:dyDescent="0.3">
      <c r="B322" s="18" t="s">
        <v>659</v>
      </c>
      <c r="C322" s="18" t="s">
        <v>115</v>
      </c>
      <c r="D322" s="18" t="s">
        <v>133</v>
      </c>
      <c r="E322" s="18">
        <v>5</v>
      </c>
      <c r="F322" s="18" t="s">
        <v>309</v>
      </c>
      <c r="G322" s="27" t="s">
        <v>694</v>
      </c>
      <c r="H322" s="18"/>
    </row>
    <row r="323" spans="2:8" x14ac:dyDescent="0.3">
      <c r="B323" s="18" t="s">
        <v>659</v>
      </c>
      <c r="C323" s="18" t="s">
        <v>424</v>
      </c>
      <c r="D323" s="18" t="s">
        <v>482</v>
      </c>
      <c r="E323" s="18">
        <v>5</v>
      </c>
      <c r="F323" s="18" t="s">
        <v>309</v>
      </c>
      <c r="G323" s="27" t="s">
        <v>694</v>
      </c>
      <c r="H323" s="18"/>
    </row>
    <row r="324" spans="2:8" x14ac:dyDescent="0.3">
      <c r="B324" s="18" t="s">
        <v>659</v>
      </c>
      <c r="C324" s="18" t="s">
        <v>590</v>
      </c>
      <c r="D324" s="18" t="s">
        <v>485</v>
      </c>
      <c r="E324" s="18">
        <v>10</v>
      </c>
      <c r="F324" s="18" t="s">
        <v>309</v>
      </c>
      <c r="G324" s="27" t="s">
        <v>694</v>
      </c>
      <c r="H324" s="18"/>
    </row>
    <row r="325" spans="2:8" x14ac:dyDescent="0.3">
      <c r="B325" s="18" t="s">
        <v>659</v>
      </c>
      <c r="C325" s="18" t="s">
        <v>660</v>
      </c>
      <c r="D325" s="18" t="s">
        <v>661</v>
      </c>
      <c r="E325" s="18">
        <v>35</v>
      </c>
      <c r="F325" s="18" t="s">
        <v>309</v>
      </c>
      <c r="G325" s="27" t="s">
        <v>694</v>
      </c>
      <c r="H325" s="18"/>
    </row>
    <row r="326" spans="2:8" x14ac:dyDescent="0.3">
      <c r="B326" s="18" t="s">
        <v>659</v>
      </c>
      <c r="C326" s="18" t="s">
        <v>438</v>
      </c>
      <c r="D326" s="18" t="s">
        <v>497</v>
      </c>
      <c r="E326" s="18">
        <v>2</v>
      </c>
      <c r="F326" s="18" t="s">
        <v>309</v>
      </c>
      <c r="G326" s="27" t="s">
        <v>694</v>
      </c>
      <c r="H326" s="18"/>
    </row>
    <row r="327" spans="2:8" x14ac:dyDescent="0.3">
      <c r="B327" s="18" t="s">
        <v>659</v>
      </c>
      <c r="C327" s="18" t="s">
        <v>317</v>
      </c>
      <c r="D327" s="18" t="s">
        <v>318</v>
      </c>
      <c r="E327" s="18">
        <v>6</v>
      </c>
      <c r="F327" s="18" t="s">
        <v>325</v>
      </c>
      <c r="G327" s="27" t="s">
        <v>694</v>
      </c>
      <c r="H327" s="18"/>
    </row>
    <row r="328" spans="2:8" x14ac:dyDescent="0.3">
      <c r="B328" s="18" t="s">
        <v>659</v>
      </c>
      <c r="C328" s="18" t="s">
        <v>425</v>
      </c>
      <c r="D328" s="18" t="s">
        <v>483</v>
      </c>
      <c r="E328" s="18">
        <v>35</v>
      </c>
      <c r="F328" s="18" t="s">
        <v>309</v>
      </c>
      <c r="G328" s="27" t="s">
        <v>694</v>
      </c>
      <c r="H328" s="18"/>
    </row>
    <row r="329" spans="2:8" x14ac:dyDescent="0.3">
      <c r="B329" s="18" t="s">
        <v>659</v>
      </c>
      <c r="C329" s="18" t="s">
        <v>441</v>
      </c>
      <c r="D329" s="18" t="s">
        <v>500</v>
      </c>
      <c r="E329" s="18">
        <v>1</v>
      </c>
      <c r="F329" s="18" t="s">
        <v>108</v>
      </c>
      <c r="G329" s="27" t="s">
        <v>694</v>
      </c>
      <c r="H329" s="18" t="s">
        <v>628</v>
      </c>
    </row>
    <row r="330" spans="2:8" x14ac:dyDescent="0.3">
      <c r="B330" s="18" t="s">
        <v>659</v>
      </c>
      <c r="C330" s="18" t="s">
        <v>439</v>
      </c>
      <c r="D330" s="18" t="s">
        <v>498</v>
      </c>
      <c r="E330" s="18">
        <v>0.23</v>
      </c>
      <c r="F330" s="18" t="s">
        <v>108</v>
      </c>
      <c r="G330" s="27" t="s">
        <v>694</v>
      </c>
      <c r="H330" s="18" t="s">
        <v>628</v>
      </c>
    </row>
    <row r="331" spans="2:8" x14ac:dyDescent="0.3">
      <c r="B331" s="18" t="s">
        <v>659</v>
      </c>
      <c r="C331" s="18" t="s">
        <v>450</v>
      </c>
      <c r="D331" s="18" t="s">
        <v>654</v>
      </c>
      <c r="E331" s="18">
        <v>1</v>
      </c>
      <c r="F331" s="18" t="s">
        <v>108</v>
      </c>
      <c r="G331" s="27" t="s">
        <v>694</v>
      </c>
      <c r="H331" s="18"/>
    </row>
    <row r="332" spans="2:8" x14ac:dyDescent="0.3">
      <c r="B332" s="18" t="s">
        <v>665</v>
      </c>
      <c r="C332" s="18" t="s">
        <v>422</v>
      </c>
      <c r="D332" s="24" t="s">
        <v>608</v>
      </c>
      <c r="E332" s="18">
        <v>1</v>
      </c>
      <c r="F332" s="18" t="s">
        <v>108</v>
      </c>
      <c r="G332" s="27" t="s">
        <v>694</v>
      </c>
      <c r="H332" s="18"/>
    </row>
    <row r="333" spans="2:8" x14ac:dyDescent="0.3">
      <c r="B333" s="18" t="s">
        <v>665</v>
      </c>
      <c r="C333" s="18" t="s">
        <v>660</v>
      </c>
      <c r="D333" s="18" t="s">
        <v>661</v>
      </c>
      <c r="E333" s="18">
        <v>25</v>
      </c>
      <c r="F333" s="18" t="s">
        <v>309</v>
      </c>
      <c r="G333" s="27" t="s">
        <v>694</v>
      </c>
      <c r="H333" s="18"/>
    </row>
    <row r="334" spans="2:8" x14ac:dyDescent="0.3">
      <c r="B334" s="18" t="s">
        <v>665</v>
      </c>
      <c r="C334" s="18" t="s">
        <v>298</v>
      </c>
      <c r="D334" s="18" t="s">
        <v>477</v>
      </c>
      <c r="E334" s="18">
        <v>25</v>
      </c>
      <c r="F334" s="18" t="s">
        <v>309</v>
      </c>
      <c r="G334" s="27" t="s">
        <v>694</v>
      </c>
      <c r="H334" s="18"/>
    </row>
    <row r="335" spans="2:8" x14ac:dyDescent="0.3">
      <c r="B335" s="18" t="s">
        <v>665</v>
      </c>
      <c r="C335" s="18" t="s">
        <v>425</v>
      </c>
      <c r="D335" s="18" t="s">
        <v>483</v>
      </c>
      <c r="E335" s="18">
        <v>35</v>
      </c>
      <c r="F335" s="18" t="s">
        <v>309</v>
      </c>
      <c r="G335" s="27" t="s">
        <v>694</v>
      </c>
      <c r="H335" s="18"/>
    </row>
    <row r="336" spans="2:8" x14ac:dyDescent="0.3">
      <c r="B336" s="18" t="s">
        <v>665</v>
      </c>
      <c r="C336" s="18" t="s">
        <v>441</v>
      </c>
      <c r="D336" s="18" t="s">
        <v>500</v>
      </c>
      <c r="E336" s="18">
        <v>1</v>
      </c>
      <c r="F336" s="18" t="s">
        <v>108</v>
      </c>
      <c r="G336" s="27" t="s">
        <v>694</v>
      </c>
      <c r="H336" s="18" t="s">
        <v>628</v>
      </c>
    </row>
    <row r="337" spans="1:8" x14ac:dyDescent="0.3">
      <c r="B337" s="18" t="s">
        <v>665</v>
      </c>
      <c r="C337" s="18" t="s">
        <v>439</v>
      </c>
      <c r="D337" s="18" t="s">
        <v>498</v>
      </c>
      <c r="E337" s="18">
        <v>0.23</v>
      </c>
      <c r="F337" s="18" t="s">
        <v>108</v>
      </c>
      <c r="G337" s="27" t="s">
        <v>694</v>
      </c>
      <c r="H337" s="18" t="s">
        <v>628</v>
      </c>
    </row>
    <row r="338" spans="1:8" x14ac:dyDescent="0.3">
      <c r="B338" s="18" t="s">
        <v>665</v>
      </c>
      <c r="C338" s="18" t="s">
        <v>450</v>
      </c>
      <c r="D338" s="18" t="s">
        <v>654</v>
      </c>
      <c r="E338" s="18">
        <v>1</v>
      </c>
      <c r="F338" s="18" t="s">
        <v>108</v>
      </c>
      <c r="G338" s="27" t="s">
        <v>694</v>
      </c>
      <c r="H338" s="18"/>
    </row>
    <row r="339" spans="1:8" x14ac:dyDescent="0.3">
      <c r="A339" s="14" t="s">
        <v>620</v>
      </c>
      <c r="B339" s="18" t="s">
        <v>619</v>
      </c>
      <c r="C339" s="18" t="s">
        <v>411</v>
      </c>
      <c r="D339" s="18" t="s">
        <v>625</v>
      </c>
      <c r="E339" s="18">
        <v>650</v>
      </c>
      <c r="F339" s="18" t="s">
        <v>621</v>
      </c>
      <c r="G339" s="27" t="s">
        <v>694</v>
      </c>
      <c r="H339" s="18"/>
    </row>
    <row r="340" spans="1:8" x14ac:dyDescent="0.3">
      <c r="B340" s="18" t="s">
        <v>619</v>
      </c>
      <c r="C340" s="18" t="s">
        <v>448</v>
      </c>
      <c r="D340" s="18" t="s">
        <v>505</v>
      </c>
      <c r="E340" s="18">
        <v>1</v>
      </c>
      <c r="F340" s="18" t="s">
        <v>108</v>
      </c>
      <c r="G340" s="27" t="s">
        <v>694</v>
      </c>
      <c r="H340" s="18"/>
    </row>
    <row r="341" spans="1:8" x14ac:dyDescent="0.3">
      <c r="B341" s="18" t="s">
        <v>619</v>
      </c>
      <c r="C341" s="18" t="s">
        <v>449</v>
      </c>
      <c r="D341" s="18" t="s">
        <v>626</v>
      </c>
      <c r="E341" s="18">
        <v>1</v>
      </c>
      <c r="F341" s="18" t="s">
        <v>108</v>
      </c>
      <c r="G341" s="27" t="s">
        <v>694</v>
      </c>
      <c r="H341" s="18" t="s">
        <v>628</v>
      </c>
    </row>
    <row r="342" spans="1:8" x14ac:dyDescent="0.3">
      <c r="A342" s="14" t="s">
        <v>620</v>
      </c>
      <c r="B342" s="18" t="s">
        <v>631</v>
      </c>
      <c r="C342" s="18" t="s">
        <v>406</v>
      </c>
      <c r="D342" s="18" t="s">
        <v>632</v>
      </c>
      <c r="E342" s="18">
        <v>650</v>
      </c>
      <c r="F342" s="18" t="s">
        <v>621</v>
      </c>
      <c r="G342" s="27" t="s">
        <v>694</v>
      </c>
      <c r="H342" s="18"/>
    </row>
    <row r="343" spans="1:8" x14ac:dyDescent="0.3">
      <c r="B343" s="18" t="s">
        <v>631</v>
      </c>
      <c r="C343" s="18" t="s">
        <v>448</v>
      </c>
      <c r="D343" s="18" t="s">
        <v>505</v>
      </c>
      <c r="E343" s="18">
        <v>1</v>
      </c>
      <c r="F343" s="18" t="s">
        <v>108</v>
      </c>
      <c r="G343" s="27" t="s">
        <v>694</v>
      </c>
      <c r="H343" s="18"/>
    </row>
    <row r="344" spans="1:8" x14ac:dyDescent="0.3">
      <c r="B344" s="18" t="s">
        <v>631</v>
      </c>
      <c r="C344" s="18" t="s">
        <v>449</v>
      </c>
      <c r="D344" s="18" t="s">
        <v>626</v>
      </c>
      <c r="E344" s="18">
        <v>1</v>
      </c>
      <c r="F344" s="18" t="s">
        <v>108</v>
      </c>
      <c r="G344" s="27" t="s">
        <v>694</v>
      </c>
      <c r="H344" s="18" t="s">
        <v>628</v>
      </c>
    </row>
    <row r="345" spans="1:8" x14ac:dyDescent="0.3">
      <c r="A345" s="14" t="s">
        <v>620</v>
      </c>
      <c r="B345" s="18" t="s">
        <v>633</v>
      </c>
      <c r="C345" s="18" t="s">
        <v>409</v>
      </c>
      <c r="D345" s="18" t="s">
        <v>634</v>
      </c>
      <c r="E345" s="18">
        <v>650</v>
      </c>
      <c r="F345" s="18" t="s">
        <v>621</v>
      </c>
      <c r="G345" s="27" t="s">
        <v>694</v>
      </c>
      <c r="H345" s="18"/>
    </row>
    <row r="346" spans="1:8" x14ac:dyDescent="0.3">
      <c r="B346" s="18" t="s">
        <v>633</v>
      </c>
      <c r="C346" s="18" t="s">
        <v>448</v>
      </c>
      <c r="D346" s="18" t="s">
        <v>505</v>
      </c>
      <c r="E346" s="18">
        <v>1</v>
      </c>
      <c r="F346" s="18" t="s">
        <v>108</v>
      </c>
      <c r="G346" s="27" t="s">
        <v>694</v>
      </c>
      <c r="H346" s="18"/>
    </row>
    <row r="347" spans="1:8" x14ac:dyDescent="0.3">
      <c r="B347" s="18" t="s">
        <v>633</v>
      </c>
      <c r="C347" s="18" t="s">
        <v>449</v>
      </c>
      <c r="D347" s="18" t="s">
        <v>626</v>
      </c>
      <c r="E347" s="18">
        <v>1</v>
      </c>
      <c r="F347" s="18" t="s">
        <v>108</v>
      </c>
      <c r="G347" s="27" t="s">
        <v>694</v>
      </c>
      <c r="H347" s="18" t="s">
        <v>628</v>
      </c>
    </row>
    <row r="348" spans="1:8" x14ac:dyDescent="0.3">
      <c r="A348" s="14" t="s">
        <v>620</v>
      </c>
      <c r="B348" s="18" t="s">
        <v>699</v>
      </c>
      <c r="C348" s="18" t="s">
        <v>411</v>
      </c>
      <c r="D348" s="18" t="s">
        <v>625</v>
      </c>
      <c r="E348" s="18">
        <v>266</v>
      </c>
      <c r="F348" s="18" t="s">
        <v>621</v>
      </c>
      <c r="G348" s="27" t="s">
        <v>694</v>
      </c>
      <c r="H348" s="18"/>
    </row>
    <row r="349" spans="1:8" x14ac:dyDescent="0.3">
      <c r="B349" s="18" t="s">
        <v>699</v>
      </c>
      <c r="C349" s="18" t="s">
        <v>594</v>
      </c>
      <c r="D349" s="18" t="s">
        <v>704</v>
      </c>
      <c r="E349" s="18">
        <v>1</v>
      </c>
      <c r="F349" s="18" t="s">
        <v>108</v>
      </c>
      <c r="G349" s="27" t="s">
        <v>694</v>
      </c>
      <c r="H349" s="18"/>
    </row>
    <row r="350" spans="1:8" x14ac:dyDescent="0.3">
      <c r="B350" s="18" t="s">
        <v>699</v>
      </c>
      <c r="C350" s="18" t="s">
        <v>595</v>
      </c>
      <c r="D350" s="18" t="s">
        <v>705</v>
      </c>
      <c r="E350" s="18">
        <v>1</v>
      </c>
      <c r="F350" s="18" t="s">
        <v>108</v>
      </c>
      <c r="G350" s="27" t="s">
        <v>694</v>
      </c>
      <c r="H350" s="18" t="s">
        <v>628</v>
      </c>
    </row>
    <row r="351" spans="1:8" x14ac:dyDescent="0.3">
      <c r="A351" s="14" t="s">
        <v>620</v>
      </c>
      <c r="B351" s="18" t="s">
        <v>700</v>
      </c>
      <c r="C351" s="18" t="s">
        <v>406</v>
      </c>
      <c r="D351" s="18" t="s">
        <v>632</v>
      </c>
      <c r="E351" s="18">
        <v>266</v>
      </c>
      <c r="F351" s="18" t="s">
        <v>621</v>
      </c>
      <c r="G351" s="27" t="s">
        <v>694</v>
      </c>
      <c r="H351" s="18"/>
    </row>
    <row r="352" spans="1:8" x14ac:dyDescent="0.3">
      <c r="B352" s="18" t="s">
        <v>700</v>
      </c>
      <c r="C352" s="18" t="s">
        <v>594</v>
      </c>
      <c r="D352" s="18" t="s">
        <v>704</v>
      </c>
      <c r="E352" s="18">
        <v>1</v>
      </c>
      <c r="F352" s="18" t="s">
        <v>108</v>
      </c>
      <c r="G352" s="27" t="s">
        <v>694</v>
      </c>
      <c r="H352" s="18"/>
    </row>
    <row r="353" spans="1:8" x14ac:dyDescent="0.3">
      <c r="B353" s="18" t="s">
        <v>700</v>
      </c>
      <c r="C353" s="18" t="s">
        <v>595</v>
      </c>
      <c r="D353" s="18" t="s">
        <v>705</v>
      </c>
      <c r="E353" s="18">
        <v>1</v>
      </c>
      <c r="F353" s="18" t="s">
        <v>108</v>
      </c>
      <c r="G353" s="27" t="s">
        <v>694</v>
      </c>
      <c r="H353" s="18" t="s">
        <v>628</v>
      </c>
    </row>
    <row r="354" spans="1:8" x14ac:dyDescent="0.3">
      <c r="A354" s="14" t="s">
        <v>620</v>
      </c>
      <c r="B354" s="18" t="s">
        <v>701</v>
      </c>
      <c r="C354" s="18" t="s">
        <v>409</v>
      </c>
      <c r="D354" s="18" t="s">
        <v>634</v>
      </c>
      <c r="E354" s="18">
        <v>266</v>
      </c>
      <c r="F354" s="18" t="s">
        <v>621</v>
      </c>
      <c r="G354" s="27" t="s">
        <v>694</v>
      </c>
      <c r="H354" s="18"/>
    </row>
    <row r="355" spans="1:8" x14ac:dyDescent="0.3">
      <c r="B355" s="18" t="s">
        <v>701</v>
      </c>
      <c r="C355" s="18" t="s">
        <v>594</v>
      </c>
      <c r="D355" s="18" t="s">
        <v>704</v>
      </c>
      <c r="E355" s="18">
        <v>1</v>
      </c>
      <c r="F355" s="18" t="s">
        <v>108</v>
      </c>
      <c r="G355" s="27" t="s">
        <v>694</v>
      </c>
      <c r="H355" s="18"/>
    </row>
    <row r="356" spans="1:8" x14ac:dyDescent="0.3">
      <c r="B356" s="18" t="s">
        <v>701</v>
      </c>
      <c r="C356" s="18" t="s">
        <v>595</v>
      </c>
      <c r="D356" s="18" t="s">
        <v>705</v>
      </c>
      <c r="E356" s="18">
        <v>1</v>
      </c>
      <c r="F356" s="18" t="s">
        <v>108</v>
      </c>
      <c r="G356" s="27" t="s">
        <v>694</v>
      </c>
      <c r="H356" s="18" t="s">
        <v>628</v>
      </c>
    </row>
    <row r="357" spans="1:8" x14ac:dyDescent="0.3">
      <c r="A357" s="14" t="s">
        <v>648</v>
      </c>
      <c r="B357" s="18" t="s">
        <v>678</v>
      </c>
      <c r="C357" s="18" t="s">
        <v>383</v>
      </c>
      <c r="D357" s="18" t="s">
        <v>384</v>
      </c>
      <c r="E357" s="18">
        <v>100</v>
      </c>
      <c r="F357" s="18" t="s">
        <v>325</v>
      </c>
      <c r="G357" s="27" t="s">
        <v>694</v>
      </c>
      <c r="H357" s="18"/>
    </row>
    <row r="358" spans="1:8" x14ac:dyDescent="0.3">
      <c r="B358" s="18" t="s">
        <v>678</v>
      </c>
      <c r="C358" s="18" t="s">
        <v>671</v>
      </c>
      <c r="D358" s="18" t="s">
        <v>672</v>
      </c>
      <c r="E358" s="18">
        <v>100</v>
      </c>
      <c r="F358" s="18" t="s">
        <v>309</v>
      </c>
      <c r="G358" s="27" t="s">
        <v>694</v>
      </c>
      <c r="H358" s="18"/>
    </row>
    <row r="359" spans="1:8" x14ac:dyDescent="0.3">
      <c r="B359" s="18" t="s">
        <v>678</v>
      </c>
      <c r="C359" s="18" t="s">
        <v>673</v>
      </c>
      <c r="D359" s="18" t="s">
        <v>674</v>
      </c>
      <c r="E359" s="18">
        <v>10</v>
      </c>
      <c r="F359" s="18" t="s">
        <v>309</v>
      </c>
      <c r="G359" s="27" t="s">
        <v>694</v>
      </c>
      <c r="H359" s="18"/>
    </row>
    <row r="360" spans="1:8" x14ac:dyDescent="0.3">
      <c r="B360" s="18" t="s">
        <v>678</v>
      </c>
      <c r="C360" s="18" t="s">
        <v>586</v>
      </c>
      <c r="D360" s="18" t="s">
        <v>644</v>
      </c>
      <c r="E360" s="18">
        <v>50</v>
      </c>
      <c r="F360" s="18" t="s">
        <v>309</v>
      </c>
      <c r="G360" s="27" t="s">
        <v>694</v>
      </c>
      <c r="H360" s="18"/>
    </row>
    <row r="361" spans="1:8" x14ac:dyDescent="0.3">
      <c r="B361" s="18" t="s">
        <v>678</v>
      </c>
      <c r="C361" s="18" t="s">
        <v>457</v>
      </c>
      <c r="D361" s="18" t="s">
        <v>513</v>
      </c>
      <c r="E361" s="18">
        <v>1</v>
      </c>
      <c r="F361" s="18" t="s">
        <v>108</v>
      </c>
      <c r="G361" s="27" t="s">
        <v>694</v>
      </c>
      <c r="H361" s="18"/>
    </row>
    <row r="362" spans="1:8" x14ac:dyDescent="0.3">
      <c r="B362" s="18" t="s">
        <v>678</v>
      </c>
      <c r="C362" s="18" t="s">
        <v>458</v>
      </c>
      <c r="D362" s="18" t="s">
        <v>514</v>
      </c>
      <c r="E362" s="18">
        <v>1</v>
      </c>
      <c r="F362" s="18" t="s">
        <v>108</v>
      </c>
      <c r="G362" s="27" t="s">
        <v>694</v>
      </c>
      <c r="H362" s="18" t="s">
        <v>628</v>
      </c>
    </row>
    <row r="363" spans="1:8" x14ac:dyDescent="0.3">
      <c r="B363" s="18" t="s">
        <v>678</v>
      </c>
      <c r="C363" s="18" t="s">
        <v>441</v>
      </c>
      <c r="D363" s="18" t="s">
        <v>500</v>
      </c>
      <c r="E363" s="18">
        <v>1</v>
      </c>
      <c r="F363" s="18" t="s">
        <v>108</v>
      </c>
      <c r="G363" s="27" t="s">
        <v>694</v>
      </c>
      <c r="H363" s="18" t="s">
        <v>628</v>
      </c>
    </row>
    <row r="364" spans="1:8" x14ac:dyDescent="0.3">
      <c r="A364" s="14" t="s">
        <v>648</v>
      </c>
      <c r="B364" s="18" t="s">
        <v>709</v>
      </c>
      <c r="C364" s="18" t="s">
        <v>383</v>
      </c>
      <c r="D364" s="18" t="s">
        <v>384</v>
      </c>
      <c r="E364" s="18">
        <v>100</v>
      </c>
      <c r="F364" s="18" t="s">
        <v>325</v>
      </c>
      <c r="G364" s="27" t="s">
        <v>694</v>
      </c>
      <c r="H364" s="18"/>
    </row>
    <row r="365" spans="1:8" x14ac:dyDescent="0.3">
      <c r="B365" s="18" t="s">
        <v>709</v>
      </c>
      <c r="C365" s="18" t="s">
        <v>671</v>
      </c>
      <c r="D365" s="18" t="s">
        <v>672</v>
      </c>
      <c r="E365" s="18">
        <v>100</v>
      </c>
      <c r="F365" s="18" t="s">
        <v>309</v>
      </c>
      <c r="G365" s="27" t="s">
        <v>694</v>
      </c>
      <c r="H365" s="18"/>
    </row>
    <row r="366" spans="1:8" x14ac:dyDescent="0.3">
      <c r="B366" s="18" t="s">
        <v>709</v>
      </c>
      <c r="C366" s="18" t="s">
        <v>673</v>
      </c>
      <c r="D366" s="18" t="s">
        <v>674</v>
      </c>
      <c r="E366" s="18">
        <v>10</v>
      </c>
      <c r="F366" s="18" t="s">
        <v>309</v>
      </c>
      <c r="G366" s="27" t="s">
        <v>694</v>
      </c>
      <c r="H366" s="18"/>
    </row>
    <row r="367" spans="1:8" x14ac:dyDescent="0.3">
      <c r="B367" s="18" t="s">
        <v>709</v>
      </c>
      <c r="C367" s="18" t="s">
        <v>586</v>
      </c>
      <c r="D367" s="18" t="s">
        <v>644</v>
      </c>
      <c r="E367" s="18">
        <v>50</v>
      </c>
      <c r="F367" s="18" t="s">
        <v>309</v>
      </c>
      <c r="G367" s="27" t="s">
        <v>694</v>
      </c>
      <c r="H367" s="18"/>
    </row>
    <row r="368" spans="1:8" x14ac:dyDescent="0.3">
      <c r="B368" s="18" t="s">
        <v>709</v>
      </c>
      <c r="C368" s="18" t="s">
        <v>457</v>
      </c>
      <c r="D368" s="18" t="s">
        <v>513</v>
      </c>
      <c r="E368" s="18">
        <v>1</v>
      </c>
      <c r="F368" s="18" t="s">
        <v>108</v>
      </c>
      <c r="G368" s="27" t="s">
        <v>694</v>
      </c>
      <c r="H368" s="18"/>
    </row>
    <row r="369" spans="1:8" x14ac:dyDescent="0.3">
      <c r="B369" s="18" t="s">
        <v>709</v>
      </c>
      <c r="C369" s="18" t="s">
        <v>458</v>
      </c>
      <c r="D369" s="18" t="s">
        <v>514</v>
      </c>
      <c r="E369" s="18">
        <v>1</v>
      </c>
      <c r="F369" s="18" t="s">
        <v>108</v>
      </c>
      <c r="G369" s="27" t="s">
        <v>694</v>
      </c>
      <c r="H369" s="18" t="s">
        <v>628</v>
      </c>
    </row>
    <row r="370" spans="1:8" x14ac:dyDescent="0.3">
      <c r="B370" s="18" t="s">
        <v>709</v>
      </c>
      <c r="C370" s="18" t="s">
        <v>441</v>
      </c>
      <c r="D370" s="18" t="s">
        <v>500</v>
      </c>
      <c r="E370" s="18">
        <v>1</v>
      </c>
      <c r="F370" s="18" t="s">
        <v>108</v>
      </c>
      <c r="G370" s="27" t="s">
        <v>694</v>
      </c>
      <c r="H370" s="18" t="s">
        <v>628</v>
      </c>
    </row>
    <row r="371" spans="1:8" x14ac:dyDescent="0.3">
      <c r="B371" s="18" t="s">
        <v>709</v>
      </c>
      <c r="C371" s="18" t="s">
        <v>596</v>
      </c>
      <c r="D371" s="18" t="s">
        <v>706</v>
      </c>
      <c r="E371" s="18">
        <v>5</v>
      </c>
      <c r="F371" s="18" t="s">
        <v>309</v>
      </c>
      <c r="G371" s="27" t="s">
        <v>694</v>
      </c>
      <c r="H371" s="18"/>
    </row>
    <row r="372" spans="1:8" x14ac:dyDescent="0.3">
      <c r="A372" s="14" t="s">
        <v>648</v>
      </c>
      <c r="B372" s="18" t="s">
        <v>710</v>
      </c>
      <c r="C372" s="18" t="s">
        <v>383</v>
      </c>
      <c r="D372" s="18" t="s">
        <v>384</v>
      </c>
      <c r="E372" s="18">
        <v>100</v>
      </c>
      <c r="F372" s="18" t="s">
        <v>325</v>
      </c>
      <c r="G372" s="27" t="s">
        <v>694</v>
      </c>
      <c r="H372" s="18"/>
    </row>
    <row r="373" spans="1:8" x14ac:dyDescent="0.3">
      <c r="B373" s="18" t="s">
        <v>710</v>
      </c>
      <c r="C373" s="18" t="s">
        <v>671</v>
      </c>
      <c r="D373" s="18" t="s">
        <v>672</v>
      </c>
      <c r="E373" s="18">
        <v>100</v>
      </c>
      <c r="F373" s="18" t="s">
        <v>309</v>
      </c>
      <c r="G373" s="27" t="s">
        <v>694</v>
      </c>
      <c r="H373" s="18"/>
    </row>
    <row r="374" spans="1:8" x14ac:dyDescent="0.3">
      <c r="B374" s="18" t="s">
        <v>710</v>
      </c>
      <c r="C374" s="18" t="s">
        <v>673</v>
      </c>
      <c r="D374" s="18" t="s">
        <v>674</v>
      </c>
      <c r="E374" s="18">
        <v>10</v>
      </c>
      <c r="F374" s="18" t="s">
        <v>309</v>
      </c>
      <c r="G374" s="27" t="s">
        <v>694</v>
      </c>
      <c r="H374" s="18"/>
    </row>
    <row r="375" spans="1:8" x14ac:dyDescent="0.3">
      <c r="B375" s="18" t="s">
        <v>710</v>
      </c>
      <c r="C375" s="18" t="s">
        <v>586</v>
      </c>
      <c r="D375" s="18" t="s">
        <v>644</v>
      </c>
      <c r="E375" s="18">
        <v>50</v>
      </c>
      <c r="F375" s="18" t="s">
        <v>309</v>
      </c>
      <c r="G375" s="27" t="s">
        <v>694</v>
      </c>
      <c r="H375" s="18"/>
    </row>
    <row r="376" spans="1:8" x14ac:dyDescent="0.3">
      <c r="B376" s="18" t="s">
        <v>710</v>
      </c>
      <c r="C376" s="18" t="s">
        <v>457</v>
      </c>
      <c r="D376" s="18" t="s">
        <v>513</v>
      </c>
      <c r="E376" s="18">
        <v>1</v>
      </c>
      <c r="F376" s="18" t="s">
        <v>108</v>
      </c>
      <c r="G376" s="27" t="s">
        <v>694</v>
      </c>
      <c r="H376" s="18"/>
    </row>
    <row r="377" spans="1:8" x14ac:dyDescent="0.3">
      <c r="B377" s="18" t="s">
        <v>710</v>
      </c>
      <c r="C377" s="18" t="s">
        <v>458</v>
      </c>
      <c r="D377" s="18" t="s">
        <v>514</v>
      </c>
      <c r="E377" s="18">
        <v>1</v>
      </c>
      <c r="F377" s="18" t="s">
        <v>108</v>
      </c>
      <c r="G377" s="27" t="s">
        <v>694</v>
      </c>
      <c r="H377" s="18" t="s">
        <v>628</v>
      </c>
    </row>
    <row r="378" spans="1:8" x14ac:dyDescent="0.3">
      <c r="B378" s="18" t="s">
        <v>710</v>
      </c>
      <c r="C378" s="18" t="s">
        <v>441</v>
      </c>
      <c r="D378" s="18" t="s">
        <v>500</v>
      </c>
      <c r="E378" s="18">
        <v>1</v>
      </c>
      <c r="F378" s="18" t="s">
        <v>108</v>
      </c>
      <c r="G378" s="27" t="s">
        <v>694</v>
      </c>
      <c r="H378" s="18" t="s">
        <v>628</v>
      </c>
    </row>
    <row r="379" spans="1:8" x14ac:dyDescent="0.3">
      <c r="B379" s="18" t="s">
        <v>710</v>
      </c>
      <c r="C379" s="18" t="s">
        <v>597</v>
      </c>
      <c r="D379" s="18" t="s">
        <v>707</v>
      </c>
      <c r="E379" s="18">
        <v>5</v>
      </c>
      <c r="F379" s="18" t="s">
        <v>309</v>
      </c>
      <c r="G379" s="27" t="s">
        <v>694</v>
      </c>
      <c r="H379" s="18"/>
    </row>
    <row r="380" spans="1:8" x14ac:dyDescent="0.3">
      <c r="A380" s="14" t="s">
        <v>648</v>
      </c>
      <c r="B380" s="18" t="s">
        <v>711</v>
      </c>
      <c r="C380" s="18" t="s">
        <v>383</v>
      </c>
      <c r="D380" s="18" t="s">
        <v>384</v>
      </c>
      <c r="E380" s="18">
        <v>100</v>
      </c>
      <c r="F380" s="18" t="s">
        <v>325</v>
      </c>
      <c r="G380" s="27" t="s">
        <v>694</v>
      </c>
      <c r="H380" s="18"/>
    </row>
    <row r="381" spans="1:8" x14ac:dyDescent="0.3">
      <c r="B381" s="18" t="s">
        <v>711</v>
      </c>
      <c r="C381" s="18" t="s">
        <v>671</v>
      </c>
      <c r="D381" s="18" t="s">
        <v>672</v>
      </c>
      <c r="E381" s="18">
        <v>100</v>
      </c>
      <c r="F381" s="18" t="s">
        <v>309</v>
      </c>
      <c r="G381" s="27" t="s">
        <v>694</v>
      </c>
      <c r="H381" s="18"/>
    </row>
    <row r="382" spans="1:8" x14ac:dyDescent="0.3">
      <c r="B382" s="18" t="s">
        <v>711</v>
      </c>
      <c r="C382" s="18" t="s">
        <v>673</v>
      </c>
      <c r="D382" s="18" t="s">
        <v>674</v>
      </c>
      <c r="E382" s="18">
        <v>10</v>
      </c>
      <c r="F382" s="18" t="s">
        <v>309</v>
      </c>
      <c r="G382" s="27" t="s">
        <v>694</v>
      </c>
      <c r="H382" s="18"/>
    </row>
    <row r="383" spans="1:8" x14ac:dyDescent="0.3">
      <c r="B383" s="18" t="s">
        <v>711</v>
      </c>
      <c r="C383" s="18" t="s">
        <v>586</v>
      </c>
      <c r="D383" s="18" t="s">
        <v>644</v>
      </c>
      <c r="E383" s="18">
        <v>50</v>
      </c>
      <c r="F383" s="18" t="s">
        <v>309</v>
      </c>
      <c r="G383" s="27" t="s">
        <v>694</v>
      </c>
      <c r="H383" s="18"/>
    </row>
    <row r="384" spans="1:8" x14ac:dyDescent="0.3">
      <c r="B384" s="18" t="s">
        <v>711</v>
      </c>
      <c r="C384" s="18" t="s">
        <v>457</v>
      </c>
      <c r="D384" s="18" t="s">
        <v>513</v>
      </c>
      <c r="E384" s="18">
        <v>1</v>
      </c>
      <c r="F384" s="18" t="s">
        <v>108</v>
      </c>
      <c r="G384" s="27" t="s">
        <v>694</v>
      </c>
      <c r="H384" s="18"/>
    </row>
    <row r="385" spans="1:8" x14ac:dyDescent="0.3">
      <c r="B385" s="18" t="s">
        <v>711</v>
      </c>
      <c r="C385" s="18" t="s">
        <v>458</v>
      </c>
      <c r="D385" s="18" t="s">
        <v>514</v>
      </c>
      <c r="E385" s="18">
        <v>1</v>
      </c>
      <c r="F385" s="18" t="s">
        <v>108</v>
      </c>
      <c r="G385" s="27" t="s">
        <v>694</v>
      </c>
      <c r="H385" s="18" t="s">
        <v>628</v>
      </c>
    </row>
    <row r="386" spans="1:8" x14ac:dyDescent="0.3">
      <c r="B386" s="18" t="s">
        <v>711</v>
      </c>
      <c r="C386" s="18" t="s">
        <v>441</v>
      </c>
      <c r="D386" s="18" t="s">
        <v>500</v>
      </c>
      <c r="E386" s="18">
        <v>1</v>
      </c>
      <c r="F386" s="18" t="s">
        <v>108</v>
      </c>
      <c r="G386" s="27" t="s">
        <v>694</v>
      </c>
      <c r="H386" s="18" t="s">
        <v>628</v>
      </c>
    </row>
    <row r="387" spans="1:8" x14ac:dyDescent="0.3">
      <c r="B387" s="18" t="s">
        <v>711</v>
      </c>
      <c r="C387" s="18" t="s">
        <v>598</v>
      </c>
      <c r="D387" s="18" t="s">
        <v>708</v>
      </c>
      <c r="E387" s="18">
        <v>5</v>
      </c>
      <c r="F387" s="18" t="s">
        <v>309</v>
      </c>
      <c r="G387" s="27" t="s">
        <v>694</v>
      </c>
      <c r="H387" s="18"/>
    </row>
    <row r="388" spans="1:8" x14ac:dyDescent="0.3">
      <c r="A388" s="14" t="s">
        <v>648</v>
      </c>
      <c r="B388" s="18" t="s">
        <v>677</v>
      </c>
      <c r="C388" s="18" t="s">
        <v>383</v>
      </c>
      <c r="D388" s="18" t="s">
        <v>384</v>
      </c>
      <c r="E388" s="18">
        <v>100</v>
      </c>
      <c r="F388" s="18" t="s">
        <v>325</v>
      </c>
      <c r="G388" s="27" t="s">
        <v>694</v>
      </c>
      <c r="H388" s="18"/>
    </row>
    <row r="389" spans="1:8" x14ac:dyDescent="0.3">
      <c r="B389" s="18" t="s">
        <v>677</v>
      </c>
      <c r="C389" s="18" t="s">
        <v>671</v>
      </c>
      <c r="D389" s="18" t="s">
        <v>672</v>
      </c>
      <c r="E389" s="18">
        <v>100</v>
      </c>
      <c r="F389" s="18" t="s">
        <v>309</v>
      </c>
      <c r="G389" s="27" t="s">
        <v>694</v>
      </c>
      <c r="H389" s="18"/>
    </row>
    <row r="390" spans="1:8" x14ac:dyDescent="0.3">
      <c r="B390" s="18" t="s">
        <v>677</v>
      </c>
      <c r="C390" s="18" t="s">
        <v>673</v>
      </c>
      <c r="D390" s="18" t="s">
        <v>674</v>
      </c>
      <c r="E390" s="18">
        <v>20</v>
      </c>
      <c r="F390" s="18" t="s">
        <v>309</v>
      </c>
      <c r="G390" s="27" t="s">
        <v>694</v>
      </c>
      <c r="H390" s="18"/>
    </row>
    <row r="391" spans="1:8" x14ac:dyDescent="0.3">
      <c r="B391" s="18" t="s">
        <v>677</v>
      </c>
      <c r="C391" s="18" t="s">
        <v>34</v>
      </c>
      <c r="D391" s="18" t="s">
        <v>128</v>
      </c>
      <c r="E391" s="18">
        <v>60</v>
      </c>
      <c r="F391" s="18" t="s">
        <v>309</v>
      </c>
      <c r="G391" s="27" t="s">
        <v>694</v>
      </c>
      <c r="H391" s="18"/>
    </row>
    <row r="392" spans="1:8" x14ac:dyDescent="0.3">
      <c r="B392" s="18" t="s">
        <v>677</v>
      </c>
      <c r="C392" s="18" t="s">
        <v>586</v>
      </c>
      <c r="D392" s="18" t="s">
        <v>644</v>
      </c>
      <c r="E392" s="18">
        <v>50</v>
      </c>
      <c r="F392" s="18" t="s">
        <v>309</v>
      </c>
      <c r="G392" s="27" t="s">
        <v>694</v>
      </c>
      <c r="H392" s="18"/>
    </row>
    <row r="393" spans="1:8" x14ac:dyDescent="0.3">
      <c r="B393" s="18" t="s">
        <v>677</v>
      </c>
      <c r="C393" s="18" t="s">
        <v>457</v>
      </c>
      <c r="D393" s="18" t="s">
        <v>513</v>
      </c>
      <c r="E393" s="18">
        <v>1</v>
      </c>
      <c r="F393" s="18" t="s">
        <v>108</v>
      </c>
      <c r="G393" s="27" t="s">
        <v>694</v>
      </c>
      <c r="H393" s="18"/>
    </row>
    <row r="394" spans="1:8" x14ac:dyDescent="0.3">
      <c r="B394" s="18" t="s">
        <v>677</v>
      </c>
      <c r="C394" s="18" t="s">
        <v>458</v>
      </c>
      <c r="D394" s="18" t="s">
        <v>514</v>
      </c>
      <c r="E394" s="18">
        <v>1</v>
      </c>
      <c r="F394" s="18" t="s">
        <v>108</v>
      </c>
      <c r="G394" s="27" t="s">
        <v>694</v>
      </c>
      <c r="H394" s="18" t="s">
        <v>628</v>
      </c>
    </row>
    <row r="395" spans="1:8" x14ac:dyDescent="0.3">
      <c r="B395" s="18" t="s">
        <v>677</v>
      </c>
      <c r="C395" s="18" t="s">
        <v>441</v>
      </c>
      <c r="D395" s="18" t="s">
        <v>500</v>
      </c>
      <c r="E395" s="18">
        <v>1</v>
      </c>
      <c r="F395" s="18" t="s">
        <v>108</v>
      </c>
      <c r="G395" s="27" t="s">
        <v>694</v>
      </c>
      <c r="H395" s="18" t="s">
        <v>628</v>
      </c>
    </row>
    <row r="396" spans="1:8" x14ac:dyDescent="0.3">
      <c r="A396" s="14" t="s">
        <v>648</v>
      </c>
      <c r="B396" s="18" t="s">
        <v>728</v>
      </c>
      <c r="C396" s="18" t="s">
        <v>712</v>
      </c>
      <c r="D396" s="18" t="s">
        <v>725</v>
      </c>
      <c r="E396" s="18">
        <v>1</v>
      </c>
      <c r="F396" s="18" t="s">
        <v>108</v>
      </c>
      <c r="G396" s="27" t="s">
        <v>694</v>
      </c>
      <c r="H396" s="18"/>
    </row>
    <row r="397" spans="1:8" x14ac:dyDescent="0.3">
      <c r="B397" s="18" t="s">
        <v>728</v>
      </c>
      <c r="C397" s="18" t="s">
        <v>427</v>
      </c>
      <c r="D397" s="18" t="s">
        <v>339</v>
      </c>
      <c r="E397" s="18">
        <v>10</v>
      </c>
      <c r="F397" s="18" t="s">
        <v>309</v>
      </c>
      <c r="G397" s="27" t="s">
        <v>694</v>
      </c>
      <c r="H397" s="18"/>
    </row>
    <row r="398" spans="1:8" x14ac:dyDescent="0.3">
      <c r="B398" s="18" t="s">
        <v>728</v>
      </c>
      <c r="C398" s="18" t="s">
        <v>713</v>
      </c>
      <c r="D398" s="31" t="s">
        <v>729</v>
      </c>
      <c r="E398" s="18">
        <v>20</v>
      </c>
      <c r="F398" s="18" t="s">
        <v>309</v>
      </c>
      <c r="G398" s="27" t="s">
        <v>694</v>
      </c>
      <c r="H398" s="18"/>
    </row>
    <row r="399" spans="1:8" x14ac:dyDescent="0.3">
      <c r="B399" s="18" t="s">
        <v>732</v>
      </c>
      <c r="C399" s="18" t="s">
        <v>297</v>
      </c>
      <c r="D399" s="24" t="s">
        <v>478</v>
      </c>
      <c r="E399" s="18">
        <v>6</v>
      </c>
      <c r="F399" s="18" t="s">
        <v>108</v>
      </c>
      <c r="G399" s="27" t="s">
        <v>694</v>
      </c>
      <c r="H399" s="18"/>
    </row>
    <row r="400" spans="1:8" x14ac:dyDescent="0.3">
      <c r="B400" s="18" t="s">
        <v>732</v>
      </c>
      <c r="C400" s="18" t="s">
        <v>367</v>
      </c>
      <c r="D400" s="18" t="s">
        <v>419</v>
      </c>
      <c r="E400" s="18">
        <v>60</v>
      </c>
      <c r="F400" s="18" t="s">
        <v>309</v>
      </c>
      <c r="G400" s="27" t="s">
        <v>694</v>
      </c>
      <c r="H400" s="18"/>
    </row>
    <row r="401" spans="2:8" x14ac:dyDescent="0.3">
      <c r="B401" s="18" t="s">
        <v>732</v>
      </c>
      <c r="C401" s="18" t="s">
        <v>425</v>
      </c>
      <c r="D401" s="18" t="s">
        <v>483</v>
      </c>
      <c r="E401" s="18">
        <v>35</v>
      </c>
      <c r="F401" s="18" t="s">
        <v>309</v>
      </c>
      <c r="G401" s="27" t="s">
        <v>694</v>
      </c>
      <c r="H401" s="18"/>
    </row>
    <row r="402" spans="2:8" x14ac:dyDescent="0.3">
      <c r="B402" s="18" t="s">
        <v>732</v>
      </c>
      <c r="C402" s="18" t="s">
        <v>110</v>
      </c>
      <c r="D402" s="18" t="s">
        <v>307</v>
      </c>
      <c r="E402" s="18">
        <v>45</v>
      </c>
      <c r="F402" s="18" t="s">
        <v>325</v>
      </c>
      <c r="G402" s="27" t="s">
        <v>694</v>
      </c>
      <c r="H402" s="18"/>
    </row>
    <row r="403" spans="2:8" x14ac:dyDescent="0.3">
      <c r="B403" s="18" t="s">
        <v>732</v>
      </c>
      <c r="C403" s="18" t="s">
        <v>455</v>
      </c>
      <c r="D403" s="18" t="s">
        <v>511</v>
      </c>
      <c r="E403" s="18">
        <v>1</v>
      </c>
      <c r="F403" s="18" t="s">
        <v>108</v>
      </c>
      <c r="G403" s="27" t="s">
        <v>694</v>
      </c>
      <c r="H403" s="18"/>
    </row>
    <row r="404" spans="2:8" x14ac:dyDescent="0.3">
      <c r="B404" s="18" t="s">
        <v>732</v>
      </c>
      <c r="C404" s="18" t="s">
        <v>456</v>
      </c>
      <c r="D404" s="18" t="s">
        <v>512</v>
      </c>
      <c r="E404" s="18">
        <v>1</v>
      </c>
      <c r="F404" s="18" t="s">
        <v>108</v>
      </c>
      <c r="G404" s="27" t="s">
        <v>694</v>
      </c>
      <c r="H404" s="18"/>
    </row>
    <row r="405" spans="2:8" x14ac:dyDescent="0.3">
      <c r="B405" s="18" t="s">
        <v>732</v>
      </c>
      <c r="C405" s="18" t="s">
        <v>450</v>
      </c>
      <c r="D405" s="18" t="s">
        <v>651</v>
      </c>
      <c r="E405" s="18">
        <v>1</v>
      </c>
      <c r="F405" s="18" t="s">
        <v>108</v>
      </c>
      <c r="G405" s="27" t="s">
        <v>694</v>
      </c>
      <c r="H405" s="18"/>
    </row>
    <row r="406" spans="2:8" x14ac:dyDescent="0.3">
      <c r="B406" s="18" t="s">
        <v>732</v>
      </c>
      <c r="C406" s="18" t="s">
        <v>438</v>
      </c>
      <c r="D406" s="18" t="s">
        <v>497</v>
      </c>
      <c r="E406" s="18">
        <v>1</v>
      </c>
      <c r="F406" s="18" t="s">
        <v>309</v>
      </c>
      <c r="G406" s="27" t="s">
        <v>694</v>
      </c>
      <c r="H406" s="18"/>
    </row>
    <row r="407" spans="2:8" x14ac:dyDescent="0.3">
      <c r="B407" s="18" t="s">
        <v>732</v>
      </c>
      <c r="C407" s="18" t="s">
        <v>423</v>
      </c>
      <c r="D407" s="18" t="s">
        <v>481</v>
      </c>
      <c r="E407" s="18">
        <v>15</v>
      </c>
      <c r="F407" s="18" t="s">
        <v>309</v>
      </c>
      <c r="G407" s="27" t="s">
        <v>694</v>
      </c>
      <c r="H407" s="18"/>
    </row>
    <row r="408" spans="2:8" x14ac:dyDescent="0.3">
      <c r="B408" s="18" t="s">
        <v>732</v>
      </c>
      <c r="C408" s="18" t="s">
        <v>424</v>
      </c>
      <c r="D408" s="18" t="s">
        <v>482</v>
      </c>
      <c r="E408" s="18">
        <v>15</v>
      </c>
      <c r="F408" s="18" t="s">
        <v>309</v>
      </c>
      <c r="G408" s="27" t="s">
        <v>694</v>
      </c>
      <c r="H408" s="18"/>
    </row>
    <row r="409" spans="2:8" x14ac:dyDescent="0.3">
      <c r="B409" s="18" t="s">
        <v>732</v>
      </c>
      <c r="C409" s="18" t="s">
        <v>439</v>
      </c>
      <c r="D409" s="18" t="s">
        <v>498</v>
      </c>
      <c r="E409" s="18">
        <v>0.23</v>
      </c>
      <c r="F409" s="18" t="s">
        <v>108</v>
      </c>
      <c r="G409" s="27" t="s">
        <v>694</v>
      </c>
      <c r="H409" s="18" t="s">
        <v>628</v>
      </c>
    </row>
    <row r="410" spans="2:8" x14ac:dyDescent="0.3">
      <c r="B410" s="18" t="s">
        <v>732</v>
      </c>
      <c r="C410" s="18" t="s">
        <v>441</v>
      </c>
      <c r="D410" s="18" t="s">
        <v>500</v>
      </c>
      <c r="E410" s="18">
        <v>1</v>
      </c>
      <c r="F410" s="18" t="s">
        <v>108</v>
      </c>
      <c r="G410" s="27" t="s">
        <v>694</v>
      </c>
      <c r="H410" s="18" t="s">
        <v>628</v>
      </c>
    </row>
    <row r="411" spans="2:8" x14ac:dyDescent="0.3">
      <c r="B411" s="18" t="s">
        <v>733</v>
      </c>
      <c r="C411" s="18" t="s">
        <v>420</v>
      </c>
      <c r="D411" s="24" t="s">
        <v>479</v>
      </c>
      <c r="E411" s="18">
        <v>2</v>
      </c>
      <c r="F411" s="18" t="s">
        <v>108</v>
      </c>
      <c r="G411" s="27" t="s">
        <v>694</v>
      </c>
      <c r="H411" s="18"/>
    </row>
    <row r="412" spans="2:8" x14ac:dyDescent="0.3">
      <c r="B412" s="18" t="s">
        <v>733</v>
      </c>
      <c r="C412" s="18" t="s">
        <v>367</v>
      </c>
      <c r="D412" s="18" t="s">
        <v>419</v>
      </c>
      <c r="E412" s="18">
        <v>70</v>
      </c>
      <c r="F412" s="18" t="s">
        <v>309</v>
      </c>
      <c r="G412" s="27" t="s">
        <v>694</v>
      </c>
      <c r="H412" s="18"/>
    </row>
    <row r="413" spans="2:8" x14ac:dyDescent="0.3">
      <c r="B413" s="18" t="s">
        <v>733</v>
      </c>
      <c r="C413" s="18" t="s">
        <v>587</v>
      </c>
      <c r="D413" s="14" t="s">
        <v>650</v>
      </c>
      <c r="E413" s="18">
        <v>50</v>
      </c>
      <c r="F413" s="18" t="s">
        <v>309</v>
      </c>
      <c r="G413" s="27" t="s">
        <v>694</v>
      </c>
      <c r="H413" s="18"/>
    </row>
    <row r="414" spans="2:8" x14ac:dyDescent="0.3">
      <c r="B414" s="18" t="s">
        <v>733</v>
      </c>
      <c r="C414" s="18" t="s">
        <v>425</v>
      </c>
      <c r="D414" s="18" t="s">
        <v>483</v>
      </c>
      <c r="E414" s="18">
        <v>35</v>
      </c>
      <c r="F414" s="18" t="s">
        <v>309</v>
      </c>
      <c r="G414" s="27" t="s">
        <v>694</v>
      </c>
      <c r="H414" s="18"/>
    </row>
    <row r="415" spans="2:8" x14ac:dyDescent="0.3">
      <c r="B415" s="18" t="s">
        <v>733</v>
      </c>
      <c r="C415" s="18" t="s">
        <v>110</v>
      </c>
      <c r="D415" s="18" t="s">
        <v>307</v>
      </c>
      <c r="E415" s="18">
        <v>45</v>
      </c>
      <c r="F415" s="18" t="s">
        <v>325</v>
      </c>
      <c r="G415" s="27" t="s">
        <v>694</v>
      </c>
      <c r="H415" s="18"/>
    </row>
    <row r="416" spans="2:8" x14ac:dyDescent="0.3">
      <c r="B416" s="18" t="s">
        <v>733</v>
      </c>
      <c r="C416" s="18" t="s">
        <v>455</v>
      </c>
      <c r="D416" s="18" t="s">
        <v>511</v>
      </c>
      <c r="E416" s="18">
        <v>1</v>
      </c>
      <c r="F416" s="18" t="s">
        <v>108</v>
      </c>
      <c r="G416" s="27" t="s">
        <v>694</v>
      </c>
      <c r="H416" s="18"/>
    </row>
    <row r="417" spans="2:8" x14ac:dyDescent="0.3">
      <c r="B417" s="18" t="s">
        <v>733</v>
      </c>
      <c r="C417" s="18" t="s">
        <v>456</v>
      </c>
      <c r="D417" s="18" t="s">
        <v>512</v>
      </c>
      <c r="E417" s="18">
        <v>1</v>
      </c>
      <c r="F417" s="18" t="s">
        <v>108</v>
      </c>
      <c r="G417" s="27" t="s">
        <v>694</v>
      </c>
      <c r="H417" s="18"/>
    </row>
    <row r="418" spans="2:8" x14ac:dyDescent="0.3">
      <c r="B418" s="18" t="s">
        <v>733</v>
      </c>
      <c r="C418" s="18" t="s">
        <v>450</v>
      </c>
      <c r="D418" s="18" t="s">
        <v>651</v>
      </c>
      <c r="E418" s="18">
        <v>1</v>
      </c>
      <c r="F418" s="18" t="s">
        <v>108</v>
      </c>
      <c r="G418" s="27" t="s">
        <v>694</v>
      </c>
      <c r="H418" s="18"/>
    </row>
    <row r="419" spans="2:8" x14ac:dyDescent="0.3">
      <c r="B419" s="18" t="s">
        <v>733</v>
      </c>
      <c r="C419" s="18" t="s">
        <v>438</v>
      </c>
      <c r="D419" s="18" t="s">
        <v>497</v>
      </c>
      <c r="E419" s="18">
        <v>1</v>
      </c>
      <c r="F419" s="18" t="s">
        <v>309</v>
      </c>
      <c r="G419" s="27" t="s">
        <v>694</v>
      </c>
      <c r="H419" s="18"/>
    </row>
    <row r="420" spans="2:8" x14ac:dyDescent="0.3">
      <c r="B420" s="18" t="s">
        <v>733</v>
      </c>
      <c r="C420" s="18" t="s">
        <v>423</v>
      </c>
      <c r="D420" s="18" t="s">
        <v>481</v>
      </c>
      <c r="E420" s="18">
        <v>10</v>
      </c>
      <c r="F420" s="18" t="s">
        <v>309</v>
      </c>
      <c r="G420" s="27" t="s">
        <v>694</v>
      </c>
      <c r="H420" s="18"/>
    </row>
    <row r="421" spans="2:8" x14ac:dyDescent="0.3">
      <c r="B421" s="18" t="s">
        <v>733</v>
      </c>
      <c r="C421" s="18" t="s">
        <v>424</v>
      </c>
      <c r="D421" s="18" t="s">
        <v>482</v>
      </c>
      <c r="E421" s="18">
        <v>10</v>
      </c>
      <c r="F421" s="18" t="s">
        <v>309</v>
      </c>
      <c r="G421" s="27" t="s">
        <v>694</v>
      </c>
      <c r="H421" s="18"/>
    </row>
    <row r="422" spans="2:8" x14ac:dyDescent="0.3">
      <c r="B422" s="18" t="s">
        <v>733</v>
      </c>
      <c r="C422" s="18" t="s">
        <v>439</v>
      </c>
      <c r="D422" s="18" t="s">
        <v>498</v>
      </c>
      <c r="E422" s="18">
        <v>0.23</v>
      </c>
      <c r="F422" s="18" t="s">
        <v>108</v>
      </c>
      <c r="G422" s="27" t="s">
        <v>694</v>
      </c>
      <c r="H422" s="18" t="s">
        <v>628</v>
      </c>
    </row>
    <row r="423" spans="2:8" x14ac:dyDescent="0.3">
      <c r="B423" s="18" t="s">
        <v>733</v>
      </c>
      <c r="C423" s="18" t="s">
        <v>441</v>
      </c>
      <c r="D423" s="18" t="s">
        <v>500</v>
      </c>
      <c r="E423" s="18">
        <v>1</v>
      </c>
      <c r="F423" s="18" t="s">
        <v>108</v>
      </c>
      <c r="G423" s="27" t="s">
        <v>694</v>
      </c>
      <c r="H423" s="18" t="s">
        <v>628</v>
      </c>
    </row>
    <row r="424" spans="2:8" x14ac:dyDescent="0.3">
      <c r="B424" s="18" t="s">
        <v>737</v>
      </c>
      <c r="C424" s="18" t="s">
        <v>734</v>
      </c>
      <c r="D424" s="18" t="s">
        <v>735</v>
      </c>
      <c r="E424" s="18">
        <v>12</v>
      </c>
      <c r="F424" s="18" t="s">
        <v>108</v>
      </c>
      <c r="G424" s="27" t="s">
        <v>694</v>
      </c>
      <c r="H424" s="18"/>
    </row>
    <row r="425" spans="2:8" x14ac:dyDescent="0.3">
      <c r="B425" s="18" t="s">
        <v>737</v>
      </c>
      <c r="C425" s="18" t="s">
        <v>738</v>
      </c>
      <c r="D425" s="18" t="s">
        <v>739</v>
      </c>
      <c r="E425" s="18">
        <v>1</v>
      </c>
      <c r="F425" s="18" t="s">
        <v>108</v>
      </c>
      <c r="G425" s="27" t="s">
        <v>694</v>
      </c>
      <c r="H425" s="18"/>
    </row>
    <row r="426" spans="2:8" x14ac:dyDescent="0.3">
      <c r="B426" s="18" t="s">
        <v>740</v>
      </c>
      <c r="C426" s="18" t="s">
        <v>734</v>
      </c>
      <c r="D426" s="18" t="s">
        <v>735</v>
      </c>
      <c r="E426" s="18">
        <v>20</v>
      </c>
      <c r="F426" s="18" t="s">
        <v>108</v>
      </c>
      <c r="G426" s="27" t="s">
        <v>694</v>
      </c>
      <c r="H426" s="18"/>
    </row>
    <row r="427" spans="2:8" x14ac:dyDescent="0.3">
      <c r="B427" s="18" t="s">
        <v>740</v>
      </c>
      <c r="C427" s="18" t="s">
        <v>738</v>
      </c>
      <c r="D427" s="18" t="s">
        <v>739</v>
      </c>
      <c r="E427" s="18">
        <v>1</v>
      </c>
      <c r="F427" s="18" t="s">
        <v>108</v>
      </c>
      <c r="G427" s="27" t="s">
        <v>694</v>
      </c>
      <c r="H427" s="18"/>
    </row>
  </sheetData>
  <autoFilter ref="A1:H227" xr:uid="{DBF38337-80D8-7646-8881-C60050E01B2A}"/>
  <phoneticPr fontId="4" type="noConversion"/>
  <hyperlinks>
    <hyperlink ref="A1" location="'Items y Modificadores.'!A1" display="Codigo de Items" xr:uid="{31ECB1FD-69AE-A345-B295-66B32F8CCF8A}"/>
    <hyperlink ref="B1" location="'Items y Modificadores.'!B1" display="Nombre de Items " xr:uid="{76B929B9-C161-C94A-BA9F-6AF0B5C90F34}"/>
    <hyperlink ref="C1" location="'Productos (Ingredientes.)'!A1" display="Codigo Producto" xr:uid="{AB1C5EBF-EFBC-2940-AEBC-03D1AF893CCD}"/>
    <hyperlink ref="D1" location="'Productos (Ingredientes.)'!B1" display="Productos y Producciones" xr:uid="{3AF9AF59-4956-1D4A-A2CA-9531A094A544}"/>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PRODUCTOS GENERALES PEYBU </vt:lpstr>
      <vt:lpstr>PRODUCTOS PLANTA PRODUCCION</vt:lpstr>
      <vt:lpstr>Items y Modificadores.</vt:lpstr>
      <vt:lpstr>Subrecetas (Producciones.)</vt:lpstr>
      <vt:lpstr>Recetas.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2025-10-14T19:40:47Z</dcterms:modified>
</cp:coreProperties>
</file>